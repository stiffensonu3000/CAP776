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a0fc1058fb35a12/Desktop/Github/"/>
    </mc:Choice>
  </mc:AlternateContent>
  <xr:revisionPtr revIDLastSave="878" documentId="8_{B52B83EB-C9BE-48DA-91FE-F4A273B4E431}" xr6:coauthVersionLast="47" xr6:coauthVersionMax="47" xr10:uidLastSave="{611683A3-1CA6-4EE9-84DB-0141C913AF16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  <sheet name="tabl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6" i="2" l="1"/>
  <c r="J46" i="2"/>
  <c r="I45" i="2"/>
  <c r="J45" i="2"/>
  <c r="I44" i="2"/>
  <c r="J44" i="2" s="1"/>
  <c r="I43" i="2"/>
  <c r="J43" i="2" s="1"/>
  <c r="I37" i="3"/>
  <c r="J37" i="3" s="1"/>
  <c r="I36" i="3"/>
  <c r="J36" i="3" s="1"/>
  <c r="I35" i="3"/>
  <c r="J35" i="3" s="1"/>
  <c r="I34" i="3"/>
  <c r="J34" i="3" s="1"/>
  <c r="I33" i="3"/>
  <c r="J33" i="3" s="1"/>
  <c r="I32" i="3"/>
  <c r="J32" i="3" s="1"/>
  <c r="I31" i="3"/>
  <c r="J31" i="3" s="1"/>
  <c r="I30" i="3"/>
  <c r="J30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1" i="3"/>
  <c r="J21" i="3" s="1"/>
  <c r="I20" i="3"/>
  <c r="J20" i="3" s="1"/>
  <c r="I19" i="3"/>
  <c r="J19" i="3" s="1"/>
  <c r="I18" i="3"/>
  <c r="J18" i="3" s="1"/>
  <c r="I17" i="3"/>
  <c r="J17" i="3" s="1"/>
  <c r="I16" i="3"/>
  <c r="J16" i="3" s="1"/>
  <c r="I15" i="3"/>
  <c r="J15" i="3" s="1"/>
  <c r="I14" i="3"/>
  <c r="J14" i="3" s="1"/>
  <c r="I13" i="3"/>
  <c r="J13" i="3" s="1"/>
  <c r="I12" i="3"/>
  <c r="J12" i="3" s="1"/>
  <c r="I11" i="3"/>
  <c r="J11" i="3" s="1"/>
  <c r="I10" i="3"/>
  <c r="J10" i="3" s="1"/>
  <c r="I9" i="3"/>
  <c r="J9" i="3" s="1"/>
  <c r="I8" i="3"/>
  <c r="J8" i="3" s="1"/>
  <c r="I7" i="3"/>
  <c r="J7" i="3" s="1"/>
  <c r="I6" i="3"/>
  <c r="J6" i="3" s="1"/>
  <c r="I5" i="3"/>
  <c r="J5" i="3" s="1"/>
  <c r="I4" i="3"/>
  <c r="J4" i="3" s="1"/>
  <c r="I3" i="3"/>
  <c r="J3" i="3" s="1"/>
  <c r="I2" i="3"/>
  <c r="J2" i="3" s="1"/>
  <c r="I14" i="2"/>
  <c r="J14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7" i="2"/>
  <c r="I15" i="2"/>
  <c r="J15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I50" i="2"/>
  <c r="J50" i="2" s="1"/>
  <c r="I49" i="2"/>
  <c r="J49" i="2" s="1"/>
  <c r="I48" i="2"/>
  <c r="J48" i="2" s="1"/>
  <c r="I47" i="2"/>
  <c r="J47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J7" i="2"/>
  <c r="I6" i="2"/>
  <c r="J6" i="2" l="1"/>
</calcChain>
</file>

<file path=xl/sharedStrings.xml><?xml version="1.0" encoding="utf-8"?>
<sst xmlns="http://schemas.openxmlformats.org/spreadsheetml/2006/main" count="467" uniqueCount="70">
  <si>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</si>
  <si>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</si>
  <si>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</si>
  <si>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</si>
  <si>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</si>
  <si>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</si>
  <si>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</si>
  <si>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</si>
  <si>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</si>
  <si>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</si>
  <si>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</si>
  <si>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</si>
  <si>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</si>
  <si>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</si>
  <si>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</si>
  <si>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</si>
  <si>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</si>
  <si>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</si>
  <si>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</si>
  <si>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</si>
  <si>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</si>
  <si>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</si>
  <si>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</si>
  <si>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</si>
  <si>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</si>
  <si>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</si>
  <si>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</si>
  <si>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</si>
  <si>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</si>
  <si>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</si>
  <si>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</si>
  <si>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</si>
  <si>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</si>
  <si>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</si>
  <si>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</si>
  <si>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</si>
  <si>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</si>
  <si>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</si>
  <si>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</si>
  <si>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</si>
  <si>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</si>
  <si>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</si>
  <si>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</si>
  <si>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</si>
  <si>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</si>
  <si>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</si>
  <si>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</si>
  <si>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</si>
  <si>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</si>
  <si>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</si>
  <si>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</si>
  <si>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</si>
  <si>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</si>
  <si>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</si>
  <si>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Sonu Roy</t>
  </si>
  <si>
    <t>CAP776/G1</t>
  </si>
  <si>
    <t>August</t>
  </si>
  <si>
    <t>Neutral</t>
  </si>
  <si>
    <t>very tired after classes</t>
  </si>
  <si>
    <t>feeling good</t>
  </si>
  <si>
    <t>good</t>
  </si>
  <si>
    <t>High</t>
  </si>
  <si>
    <t>tired after class</t>
  </si>
  <si>
    <t>felling good</t>
  </si>
  <si>
    <t>Excellent</t>
  </si>
  <si>
    <t>Very Satisfied</t>
  </si>
  <si>
    <t>feelig good</t>
  </si>
  <si>
    <t>feeling god</t>
  </si>
  <si>
    <t>Low</t>
  </si>
  <si>
    <t>very 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</si>
</sst>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1" fontId="0" fillId="0" borderId="0" xfId="0" applyNumberFormat="1"/>
    <xf numFmtId="0" fontId="8" fillId="0" borderId="0" xfId="0" applyFont="1"/>
    <xf numFmtId="0" fontId="6" fillId="0" borderId="0" xfId="0" applyFont="1"/>
    <xf numFmtId="0" fontId="12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21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ill>
        <patternFill patternType="solid">
          <fgColor rgb="FFFFFFFF"/>
          <bgColor rgb="FFFFF2CC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charset val="1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" formatCode="0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numFmt numFmtId="164" formatCode="yyyy\-mm\-dd"/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  <vertical/>
        <horizontal/>
      </border>
    </dxf>
    <dxf>
      <border outline="0">
        <top style="thin">
          <color rgb="FFB7B7B7"/>
        </top>
      </border>
    </dxf>
    <dxf>
      <border outline="0">
        <left style="thin">
          <color rgb="FFB7B7B7"/>
        </left>
        <right style="thin">
          <color rgb="FFB7B7B7"/>
        </right>
        <top style="thin">
          <color rgb="FFB7B7B7"/>
        </top>
        <bottom style="thin">
          <color rgb="FFB7B7B7"/>
        </bottom>
      </border>
    </dxf>
    <dxf>
      <fill>
        <patternFill patternType="solid">
          <fgColor rgb="FFFFFFFF"/>
          <bgColor rgb="FFFFF2CC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7B7B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7B7B7"/>
        </left>
        <right style="thin">
          <color rgb="FFB7B7B7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F83B6E-D884-4D4C-836F-87F92EDCDC97}" name="Table1" displayName="Table1" ref="A1:N37" totalsRowShown="0" headerRowDxfId="20" dataDxfId="18" headerRowBorderDxfId="19" tableBorderDxfId="17" totalsRowBorderDxfId="16">
  <autoFilter ref="A1:N37" xr:uid="{AFF83B6E-D884-4D4C-836F-87F92EDCDC97}"/>
  <tableColumns count="14">
    <tableColumn id="1" xr3:uid="{FE7F5BB2-272A-4D9B-AE36-01833C67C476}" name="Date" dataDxfId="15"/>
    <tableColumn id="2" xr3:uid="{ED56C82D-1CCD-4843-9B10-24C350A68A21}" name="Sleep (min)" dataDxfId="14"/>
    <tableColumn id="3" xr3:uid="{C5644427-0441-49AD-8078-5C3733B95A48}" name="Fitness (min)" dataDxfId="13"/>
    <tableColumn id="4" xr3:uid="{B076DF96-C376-47B6-814B-F4E235A41F30}" name="Study (min)" dataDxfId="12"/>
    <tableColumn id="5" xr3:uid="{6E39A355-80F1-45FD-9976-EEAAAA397F4F}" name="Coding (min)" dataDxfId="11"/>
    <tableColumn id="6" xr3:uid="{E53E8B08-9408-4042-896F-8639999A3334}" name="Class (min)" dataDxfId="10"/>
    <tableColumn id="7" xr3:uid="{C1BE62F1-245F-4A3E-B978-A4A21AA6DB3F}" name="Classes Attended" dataDxfId="9"/>
    <tableColumn id="8" xr3:uid="{8679CF34-B3BF-4019-9448-81FD30D39780}" name="Other Activities (min)" dataDxfId="8"/>
    <tableColumn id="9" xr3:uid="{5968EE4E-6FEA-4801-8B4B-073FDF4A1484}" name="Total Tracked (min)" dataDxfId="7">
      <calculatedColumnFormula>IF(SUM(B2:F2,H2)=0,"",SUM(B2:F2,H2))</calculatedColumnFormula>
    </tableColumn>
    <tableColumn id="10" xr3:uid="{E0195DD0-3932-46E8-A92D-1A5E29DDB84E}" name="Free/Unaccounted (min)" dataDxfId="6">
      <calculatedColumnFormula>IF(I2="","",1440-I2)</calculatedColumnFormula>
    </tableColumn>
    <tableColumn id="11" xr3:uid="{137B5428-54FF-48A1-BE71-D3B78C341E0D}" name="Day's Feeling" dataDxfId="5"/>
    <tableColumn id="12" xr3:uid="{D9A67C24-3AF5-493A-9FC0-4E119163BFEF}" name="Satisfaction Level" dataDxfId="4"/>
    <tableColumn id="13" xr3:uid="{2C69B33A-7197-4AFC-849C-B92C3E54A4FC}" name="Energy Level" dataDxfId="3"/>
    <tableColumn id="14" xr3:uid="{65E2369E-379A-43C9-A680-A0C46A3E602A}" name="Notes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11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9"/>
  <sheetViews>
    <sheetView showGridLines="0" tabSelected="1" zoomScaleNormal="100" workbookViewId="0">
      <pane xSplit="1" ySplit="5" topLeftCell="B51" activePane="bottomRight" state="frozen"/>
      <selection pane="topRight" activeCell="B1" sqref="B1"/>
      <selection pane="bottomLeft" activeCell="A6" sqref="A6"/>
      <selection pane="bottomRight" activeCell="H52" sqref="H52:H69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3" t="s">
        <v>29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9.5" customHeight="1" x14ac:dyDescent="0.3">
      <c r="A2" s="6" t="s">
        <v>30</v>
      </c>
      <c r="B2" s="24" t="s">
        <v>54</v>
      </c>
      <c r="C2" s="25"/>
      <c r="D2" s="25"/>
      <c r="E2" s="6" t="s">
        <v>31</v>
      </c>
      <c r="F2" s="25">
        <v>12610019</v>
      </c>
      <c r="G2" s="25"/>
    </row>
    <row r="3" spans="1:14" ht="19.5" customHeight="1" x14ac:dyDescent="0.3">
      <c r="A3" s="6" t="s">
        <v>32</v>
      </c>
      <c r="B3" s="25" t="s">
        <v>55</v>
      </c>
      <c r="C3" s="25"/>
      <c r="D3" s="25"/>
      <c r="E3" s="6" t="s">
        <v>33</v>
      </c>
      <c r="F3" s="24" t="s">
        <v>56</v>
      </c>
      <c r="G3" s="25"/>
    </row>
    <row r="4" spans="1:14" x14ac:dyDescent="0.3">
      <c r="A4" s="22" t="s">
        <v>34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77" si="0">IF(SUM(B6:F6,H6)=0,"",SUM(B6:F6,H6))</f>
        <v>885</v>
      </c>
      <c r="J6" s="10">
        <f t="shared" ref="J6:J77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46251</v>
      </c>
      <c r="B7" s="14">
        <v>480</v>
      </c>
      <c r="C7" s="14">
        <v>30</v>
      </c>
      <c r="D7" s="14">
        <v>100</v>
      </c>
      <c r="E7" s="14">
        <v>60</v>
      </c>
      <c r="F7" s="14">
        <v>420</v>
      </c>
      <c r="G7" s="14">
        <v>6</v>
      </c>
      <c r="H7" s="14">
        <v>45</v>
      </c>
      <c r="I7" s="15">
        <f>IF(SUM(B7:F7,H7)=0,"",SUM(B7:F7,H7))</f>
        <v>1135</v>
      </c>
      <c r="J7" s="15">
        <f t="shared" si="1"/>
        <v>305</v>
      </c>
      <c r="K7" s="16" t="s">
        <v>57</v>
      </c>
      <c r="L7" s="16" t="s">
        <v>50</v>
      </c>
      <c r="M7" s="16" t="s">
        <v>51</v>
      </c>
      <c r="N7" s="17" t="s">
        <v>58</v>
      </c>
    </row>
    <row r="8" spans="1:14" x14ac:dyDescent="0.3">
      <c r="A8" s="13">
        <v>46252</v>
      </c>
      <c r="B8" s="14">
        <v>430</v>
      </c>
      <c r="C8" s="14">
        <v>30</v>
      </c>
      <c r="D8" s="14">
        <v>90</v>
      </c>
      <c r="E8" s="14">
        <v>50</v>
      </c>
      <c r="F8" s="14">
        <v>480</v>
      </c>
      <c r="G8" s="14">
        <v>7</v>
      </c>
      <c r="H8" s="14">
        <v>40</v>
      </c>
      <c r="I8" s="15">
        <f t="shared" ref="I8:I13" si="2">IF(SUM(B8:F8,H8)=0,"",SUM(B8:F8,H8))</f>
        <v>1120</v>
      </c>
      <c r="J8" s="15">
        <f t="shared" si="1"/>
        <v>320</v>
      </c>
      <c r="K8" s="16" t="s">
        <v>57</v>
      </c>
      <c r="L8" s="16" t="s">
        <v>50</v>
      </c>
      <c r="M8" s="16" t="s">
        <v>51</v>
      </c>
      <c r="N8" s="17" t="s">
        <v>62</v>
      </c>
    </row>
    <row r="9" spans="1:14" x14ac:dyDescent="0.3">
      <c r="A9" s="13">
        <v>46253</v>
      </c>
      <c r="B9" s="14">
        <v>450</v>
      </c>
      <c r="C9" s="14">
        <v>20</v>
      </c>
      <c r="D9" s="14">
        <v>70</v>
      </c>
      <c r="E9" s="14">
        <v>60</v>
      </c>
      <c r="F9" s="14">
        <v>380</v>
      </c>
      <c r="G9" s="14">
        <v>5</v>
      </c>
      <c r="H9" s="14">
        <v>60</v>
      </c>
      <c r="I9" s="15">
        <f t="shared" si="2"/>
        <v>1040</v>
      </c>
      <c r="J9" s="15">
        <f t="shared" si="1"/>
        <v>400</v>
      </c>
      <c r="K9" s="16" t="s">
        <v>57</v>
      </c>
      <c r="L9" s="16" t="s">
        <v>50</v>
      </c>
      <c r="M9" s="16" t="s">
        <v>51</v>
      </c>
      <c r="N9" s="17" t="s">
        <v>62</v>
      </c>
    </row>
    <row r="10" spans="1:14" x14ac:dyDescent="0.3">
      <c r="A10" s="13">
        <v>46254</v>
      </c>
      <c r="B10" s="14">
        <v>410</v>
      </c>
      <c r="C10" s="14">
        <v>25</v>
      </c>
      <c r="D10" s="14">
        <v>60</v>
      </c>
      <c r="E10" s="14">
        <v>60</v>
      </c>
      <c r="F10" s="14">
        <v>330</v>
      </c>
      <c r="G10" s="14">
        <v>4</v>
      </c>
      <c r="H10" s="14">
        <v>50</v>
      </c>
      <c r="I10" s="15">
        <f t="shared" si="2"/>
        <v>935</v>
      </c>
      <c r="J10" s="15">
        <f t="shared" si="1"/>
        <v>505</v>
      </c>
      <c r="K10" s="16" t="s">
        <v>57</v>
      </c>
      <c r="L10" s="16" t="s">
        <v>50</v>
      </c>
      <c r="M10" s="16" t="s">
        <v>51</v>
      </c>
      <c r="N10" s="17" t="s">
        <v>60</v>
      </c>
    </row>
    <row r="11" spans="1:14" x14ac:dyDescent="0.3">
      <c r="A11" s="13">
        <v>46255</v>
      </c>
      <c r="B11" s="14">
        <v>420</v>
      </c>
      <c r="C11" s="14">
        <v>20</v>
      </c>
      <c r="D11" s="14">
        <v>70</v>
      </c>
      <c r="E11" s="14">
        <v>60</v>
      </c>
      <c r="F11" s="14">
        <v>350</v>
      </c>
      <c r="G11" s="14">
        <v>5</v>
      </c>
      <c r="H11" s="14">
        <v>70</v>
      </c>
      <c r="I11" s="15">
        <f t="shared" si="2"/>
        <v>990</v>
      </c>
      <c r="J11" s="15">
        <f t="shared" si="1"/>
        <v>450</v>
      </c>
      <c r="K11" s="16" t="s">
        <v>57</v>
      </c>
      <c r="L11" s="16" t="s">
        <v>50</v>
      </c>
      <c r="M11" s="16" t="s">
        <v>51</v>
      </c>
      <c r="N11" s="17" t="s">
        <v>69</v>
      </c>
    </row>
    <row r="12" spans="1:14" x14ac:dyDescent="0.3">
      <c r="A12" s="13">
        <v>46256</v>
      </c>
      <c r="B12" s="14">
        <v>500</v>
      </c>
      <c r="C12" s="14">
        <v>25</v>
      </c>
      <c r="D12" s="14">
        <v>90</v>
      </c>
      <c r="E12" s="14">
        <v>100</v>
      </c>
      <c r="F12" s="14">
        <v>0</v>
      </c>
      <c r="G12" s="14">
        <v>0</v>
      </c>
      <c r="H12" s="14">
        <v>66</v>
      </c>
      <c r="I12" s="15">
        <f t="shared" si="2"/>
        <v>781</v>
      </c>
      <c r="J12" s="15">
        <f t="shared" si="1"/>
        <v>659</v>
      </c>
      <c r="K12" s="16" t="s">
        <v>57</v>
      </c>
      <c r="L12" s="16" t="s">
        <v>50</v>
      </c>
      <c r="M12" s="16" t="s">
        <v>51</v>
      </c>
      <c r="N12" s="17" t="s">
        <v>69</v>
      </c>
    </row>
    <row r="13" spans="1:14" x14ac:dyDescent="0.3">
      <c r="A13" s="13">
        <v>46257</v>
      </c>
      <c r="B13" s="14">
        <v>420</v>
      </c>
      <c r="C13" s="14">
        <v>25</v>
      </c>
      <c r="D13" s="14">
        <v>70</v>
      </c>
      <c r="E13" s="14">
        <v>90</v>
      </c>
      <c r="F13" s="14">
        <v>0</v>
      </c>
      <c r="G13" s="14">
        <v>0</v>
      </c>
      <c r="H13" s="14">
        <v>60</v>
      </c>
      <c r="I13" s="15">
        <f t="shared" si="2"/>
        <v>665</v>
      </c>
      <c r="J13" s="15">
        <f t="shared" si="1"/>
        <v>775</v>
      </c>
      <c r="K13" s="16" t="s">
        <v>57</v>
      </c>
      <c r="L13" s="16" t="s">
        <v>50</v>
      </c>
      <c r="M13" s="16" t="s">
        <v>51</v>
      </c>
      <c r="N13" s="17" t="s">
        <v>60</v>
      </c>
    </row>
    <row r="14" spans="1:14" x14ac:dyDescent="0.3">
      <c r="A14" s="13">
        <v>46258</v>
      </c>
      <c r="B14" s="14">
        <v>450</v>
      </c>
      <c r="C14" s="14">
        <v>30</v>
      </c>
      <c r="D14" s="14">
        <v>60</v>
      </c>
      <c r="E14" s="14">
        <v>60</v>
      </c>
      <c r="F14" s="14">
        <v>420</v>
      </c>
      <c r="G14" s="14">
        <v>6</v>
      </c>
      <c r="H14" s="14">
        <v>33</v>
      </c>
      <c r="I14" s="15">
        <f>IF(SUM(B14:F14,H14)=0,"",SUM(B14:F14,H14))</f>
        <v>1053</v>
      </c>
      <c r="J14" s="15">
        <f t="shared" si="1"/>
        <v>387</v>
      </c>
      <c r="K14" s="16" t="s">
        <v>57</v>
      </c>
      <c r="L14" s="16" t="s">
        <v>50</v>
      </c>
      <c r="M14" s="16" t="s">
        <v>51</v>
      </c>
      <c r="N14" s="17" t="s">
        <v>60</v>
      </c>
    </row>
    <row r="15" spans="1:14" x14ac:dyDescent="0.3">
      <c r="A15" s="13">
        <v>46259</v>
      </c>
      <c r="B15" s="14">
        <v>480</v>
      </c>
      <c r="C15" s="14">
        <v>30</v>
      </c>
      <c r="D15" s="14">
        <v>100</v>
      </c>
      <c r="E15" s="14">
        <v>60</v>
      </c>
      <c r="F15" s="14">
        <v>480</v>
      </c>
      <c r="G15" s="14">
        <v>7</v>
      </c>
      <c r="H15" s="14">
        <v>45</v>
      </c>
      <c r="I15" s="15">
        <f t="shared" ref="I15" si="3">IF(SUM(B15:F15,H15)=0,"",SUM(B15:F15,H15))</f>
        <v>1195</v>
      </c>
      <c r="J15" s="15">
        <f t="shared" ref="J15" si="4">IF(I15="","",1440-I15)</f>
        <v>245</v>
      </c>
      <c r="K15" s="16" t="s">
        <v>57</v>
      </c>
      <c r="L15" s="16" t="s">
        <v>50</v>
      </c>
      <c r="M15" s="16" t="s">
        <v>51</v>
      </c>
      <c r="N15" s="17" t="s">
        <v>58</v>
      </c>
    </row>
    <row r="16" spans="1:14" x14ac:dyDescent="0.3">
      <c r="A16" s="13">
        <v>46260</v>
      </c>
      <c r="B16" s="14">
        <v>500</v>
      </c>
      <c r="C16" s="14">
        <v>25</v>
      </c>
      <c r="D16" s="14">
        <v>90</v>
      </c>
      <c r="E16" s="14">
        <v>70</v>
      </c>
      <c r="F16" s="14">
        <v>480</v>
      </c>
      <c r="G16" s="14">
        <v>7</v>
      </c>
      <c r="H16" s="14">
        <v>45</v>
      </c>
      <c r="I16" s="15">
        <f t="shared" si="0"/>
        <v>1210</v>
      </c>
      <c r="J16" s="15">
        <f t="shared" si="1"/>
        <v>230</v>
      </c>
      <c r="K16" s="16" t="s">
        <v>57</v>
      </c>
      <c r="L16" s="16" t="s">
        <v>50</v>
      </c>
      <c r="M16" s="16" t="s">
        <v>51</v>
      </c>
      <c r="N16" s="17" t="s">
        <v>58</v>
      </c>
    </row>
    <row r="17" spans="1:14" x14ac:dyDescent="0.3">
      <c r="A17" s="13">
        <v>46261</v>
      </c>
      <c r="B17" s="14">
        <v>480</v>
      </c>
      <c r="C17" s="14">
        <v>30</v>
      </c>
      <c r="D17" s="14">
        <v>100</v>
      </c>
      <c r="E17" s="14">
        <v>50</v>
      </c>
      <c r="F17" s="14">
        <v>430</v>
      </c>
      <c r="G17" s="14">
        <v>6</v>
      </c>
      <c r="H17" s="14">
        <v>50</v>
      </c>
      <c r="I17" s="15">
        <f t="shared" si="0"/>
        <v>1140</v>
      </c>
      <c r="J17" s="15">
        <f t="shared" si="1"/>
        <v>300</v>
      </c>
      <c r="K17" s="16" t="s">
        <v>57</v>
      </c>
      <c r="L17" s="16" t="s">
        <v>50</v>
      </c>
      <c r="M17" s="16" t="s">
        <v>51</v>
      </c>
      <c r="N17" s="17" t="s">
        <v>58</v>
      </c>
    </row>
    <row r="18" spans="1:14" x14ac:dyDescent="0.3">
      <c r="A18" s="13">
        <v>46262</v>
      </c>
      <c r="B18" s="14">
        <v>480</v>
      </c>
      <c r="C18" s="14">
        <v>30</v>
      </c>
      <c r="D18" s="14">
        <v>100</v>
      </c>
      <c r="E18" s="14">
        <v>60</v>
      </c>
      <c r="F18" s="14">
        <v>340</v>
      </c>
      <c r="G18" s="14">
        <v>5</v>
      </c>
      <c r="H18" s="14">
        <v>40</v>
      </c>
      <c r="I18" s="15">
        <f t="shared" si="0"/>
        <v>1050</v>
      </c>
      <c r="J18" s="15">
        <f t="shared" si="1"/>
        <v>390</v>
      </c>
      <c r="K18" s="16" t="s">
        <v>57</v>
      </c>
      <c r="L18" s="16" t="s">
        <v>50</v>
      </c>
      <c r="M18" s="16" t="s">
        <v>51</v>
      </c>
      <c r="N18" s="17" t="s">
        <v>58</v>
      </c>
    </row>
    <row r="19" spans="1:14" x14ac:dyDescent="0.3">
      <c r="A19" s="13">
        <v>46263</v>
      </c>
      <c r="B19" s="14">
        <v>520</v>
      </c>
      <c r="C19" s="14">
        <v>30</v>
      </c>
      <c r="D19" s="14">
        <v>100</v>
      </c>
      <c r="E19" s="14">
        <v>50</v>
      </c>
      <c r="F19" s="14">
        <v>0</v>
      </c>
      <c r="G19" s="14">
        <v>0</v>
      </c>
      <c r="H19" s="14">
        <v>45</v>
      </c>
      <c r="I19" s="15">
        <f t="shared" si="0"/>
        <v>745</v>
      </c>
      <c r="J19" s="15">
        <f t="shared" si="1"/>
        <v>695</v>
      </c>
      <c r="K19" s="16" t="s">
        <v>57</v>
      </c>
      <c r="L19" s="16" t="s">
        <v>50</v>
      </c>
      <c r="M19" s="16" t="s">
        <v>51</v>
      </c>
      <c r="N19" s="17" t="s">
        <v>58</v>
      </c>
    </row>
    <row r="20" spans="1:14" x14ac:dyDescent="0.3">
      <c r="A20" s="13">
        <v>46264</v>
      </c>
      <c r="B20" s="14">
        <v>600</v>
      </c>
      <c r="C20" s="14">
        <v>60</v>
      </c>
      <c r="D20" s="14">
        <v>250</v>
      </c>
      <c r="E20" s="14">
        <v>90</v>
      </c>
      <c r="F20" s="14">
        <v>0</v>
      </c>
      <c r="G20" s="14">
        <v>0</v>
      </c>
      <c r="H20" s="14">
        <v>120</v>
      </c>
      <c r="I20" s="15">
        <f t="shared" si="0"/>
        <v>1120</v>
      </c>
      <c r="J20" s="15">
        <f t="shared" si="1"/>
        <v>320</v>
      </c>
      <c r="K20" s="16" t="s">
        <v>57</v>
      </c>
      <c r="L20" s="16" t="s">
        <v>50</v>
      </c>
      <c r="M20" s="16" t="s">
        <v>51</v>
      </c>
      <c r="N20" s="17" t="s">
        <v>59</v>
      </c>
    </row>
    <row r="21" spans="1:14" x14ac:dyDescent="0.3">
      <c r="A21" s="13">
        <v>46265</v>
      </c>
      <c r="B21" s="14">
        <v>480</v>
      </c>
      <c r="C21" s="14">
        <v>30</v>
      </c>
      <c r="D21" s="14">
        <v>90</v>
      </c>
      <c r="E21" s="14">
        <v>50</v>
      </c>
      <c r="F21" s="14">
        <v>480</v>
      </c>
      <c r="G21" s="14">
        <v>7</v>
      </c>
      <c r="H21" s="14">
        <v>30</v>
      </c>
      <c r="I21" s="15">
        <f t="shared" si="0"/>
        <v>1160</v>
      </c>
      <c r="J21" s="15">
        <f t="shared" si="1"/>
        <v>280</v>
      </c>
      <c r="K21" s="16" t="s">
        <v>57</v>
      </c>
      <c r="L21" s="16" t="s">
        <v>50</v>
      </c>
      <c r="M21" s="16" t="s">
        <v>51</v>
      </c>
      <c r="N21" s="17" t="s">
        <v>60</v>
      </c>
    </row>
    <row r="22" spans="1:14" x14ac:dyDescent="0.3">
      <c r="A22" s="13">
        <v>46266</v>
      </c>
      <c r="B22" s="14">
        <v>480</v>
      </c>
      <c r="C22" s="14">
        <v>25</v>
      </c>
      <c r="D22" s="14">
        <v>120</v>
      </c>
      <c r="E22" s="14">
        <v>70</v>
      </c>
      <c r="F22" s="14">
        <v>480</v>
      </c>
      <c r="G22" s="14">
        <v>7</v>
      </c>
      <c r="H22" s="14">
        <v>45</v>
      </c>
      <c r="I22" s="15">
        <f t="shared" si="0"/>
        <v>1220</v>
      </c>
      <c r="J22" s="15">
        <f t="shared" si="1"/>
        <v>220</v>
      </c>
      <c r="K22" s="16" t="s">
        <v>49</v>
      </c>
      <c r="L22" s="16" t="s">
        <v>50</v>
      </c>
      <c r="M22" s="16" t="s">
        <v>61</v>
      </c>
      <c r="N22" s="17" t="s">
        <v>62</v>
      </c>
    </row>
    <row r="23" spans="1:14" x14ac:dyDescent="0.3">
      <c r="A23" s="13">
        <v>46267</v>
      </c>
      <c r="B23" s="14">
        <v>460</v>
      </c>
      <c r="C23" s="14">
        <v>25</v>
      </c>
      <c r="D23" s="14">
        <v>170</v>
      </c>
      <c r="E23" s="14">
        <v>80</v>
      </c>
      <c r="F23" s="14">
        <v>430</v>
      </c>
      <c r="G23" s="14">
        <v>6</v>
      </c>
      <c r="H23" s="14">
        <v>70</v>
      </c>
      <c r="I23" s="15">
        <f t="shared" si="0"/>
        <v>1235</v>
      </c>
      <c r="J23" s="15">
        <f t="shared" si="1"/>
        <v>205</v>
      </c>
      <c r="K23" s="16" t="s">
        <v>57</v>
      </c>
      <c r="L23" s="16" t="s">
        <v>50</v>
      </c>
      <c r="M23" s="16" t="s">
        <v>61</v>
      </c>
      <c r="N23" s="17" t="s">
        <v>59</v>
      </c>
    </row>
    <row r="24" spans="1:14" x14ac:dyDescent="0.3">
      <c r="A24" s="13">
        <v>46268</v>
      </c>
      <c r="B24" s="14">
        <v>470</v>
      </c>
      <c r="C24" s="14">
        <v>30</v>
      </c>
      <c r="D24" s="14">
        <v>160</v>
      </c>
      <c r="E24" s="14">
        <v>85</v>
      </c>
      <c r="F24" s="14">
        <v>450</v>
      </c>
      <c r="G24" s="14">
        <v>6</v>
      </c>
      <c r="H24" s="14">
        <v>60</v>
      </c>
      <c r="I24" s="15">
        <f t="shared" si="0"/>
        <v>1255</v>
      </c>
      <c r="J24" s="15">
        <f t="shared" si="1"/>
        <v>185</v>
      </c>
      <c r="K24" s="16" t="s">
        <v>49</v>
      </c>
      <c r="L24" s="16" t="s">
        <v>50</v>
      </c>
      <c r="M24" s="16" t="s">
        <v>51</v>
      </c>
      <c r="N24" s="17" t="s">
        <v>59</v>
      </c>
    </row>
    <row r="25" spans="1:14" x14ac:dyDescent="0.3">
      <c r="A25" s="13">
        <v>46269</v>
      </c>
      <c r="B25" s="14">
        <v>480</v>
      </c>
      <c r="C25" s="14">
        <v>25</v>
      </c>
      <c r="D25" s="14">
        <v>150</v>
      </c>
      <c r="E25" s="14">
        <v>90</v>
      </c>
      <c r="F25" s="14">
        <v>450</v>
      </c>
      <c r="G25" s="14">
        <v>5</v>
      </c>
      <c r="H25" s="14">
        <v>50</v>
      </c>
      <c r="I25" s="15">
        <f t="shared" si="0"/>
        <v>1245</v>
      </c>
      <c r="J25" s="15">
        <f t="shared" si="1"/>
        <v>195</v>
      </c>
      <c r="K25" s="16" t="s">
        <v>57</v>
      </c>
      <c r="L25" s="16" t="s">
        <v>50</v>
      </c>
      <c r="M25" s="16" t="s">
        <v>61</v>
      </c>
      <c r="N25" s="17" t="s">
        <v>59</v>
      </c>
    </row>
    <row r="26" spans="1:14" x14ac:dyDescent="0.3">
      <c r="A26" s="13">
        <v>46270</v>
      </c>
      <c r="B26" s="14">
        <v>500</v>
      </c>
      <c r="C26" s="14">
        <v>25</v>
      </c>
      <c r="D26" s="14">
        <v>170</v>
      </c>
      <c r="E26" s="14">
        <v>90</v>
      </c>
      <c r="F26" s="14">
        <v>0</v>
      </c>
      <c r="G26" s="14">
        <v>0</v>
      </c>
      <c r="H26" s="14">
        <v>60</v>
      </c>
      <c r="I26" s="15">
        <f t="shared" si="0"/>
        <v>845</v>
      </c>
      <c r="J26" s="15">
        <f t="shared" si="1"/>
        <v>595</v>
      </c>
      <c r="K26" s="16" t="s">
        <v>57</v>
      </c>
      <c r="L26" s="16" t="s">
        <v>50</v>
      </c>
      <c r="M26" s="16" t="s">
        <v>61</v>
      </c>
      <c r="N26" s="17" t="s">
        <v>59</v>
      </c>
    </row>
    <row r="27" spans="1:14" x14ac:dyDescent="0.3">
      <c r="A27" s="13">
        <v>46271</v>
      </c>
      <c r="B27" s="14">
        <v>600</v>
      </c>
      <c r="C27" s="14">
        <v>30</v>
      </c>
      <c r="D27" s="14">
        <v>180</v>
      </c>
      <c r="E27" s="14">
        <v>110</v>
      </c>
      <c r="F27" s="14">
        <v>0</v>
      </c>
      <c r="G27" s="14">
        <v>0</v>
      </c>
      <c r="H27" s="14">
        <v>40</v>
      </c>
      <c r="I27" s="15">
        <f t="shared" si="0"/>
        <v>960</v>
      </c>
      <c r="J27" s="15">
        <f t="shared" si="1"/>
        <v>480</v>
      </c>
      <c r="K27" s="16" t="s">
        <v>57</v>
      </c>
      <c r="L27" s="16" t="s">
        <v>50</v>
      </c>
      <c r="M27" s="16" t="s">
        <v>61</v>
      </c>
      <c r="N27" s="17" t="s">
        <v>59</v>
      </c>
    </row>
    <row r="28" spans="1:14" x14ac:dyDescent="0.3">
      <c r="A28" s="13">
        <v>46272</v>
      </c>
      <c r="B28" s="14">
        <v>480</v>
      </c>
      <c r="C28" s="14">
        <v>20</v>
      </c>
      <c r="D28" s="14">
        <v>120</v>
      </c>
      <c r="E28" s="14">
        <v>45</v>
      </c>
      <c r="F28" s="14">
        <v>480</v>
      </c>
      <c r="G28" s="14">
        <v>6</v>
      </c>
      <c r="H28" s="14">
        <v>30</v>
      </c>
      <c r="I28" s="15">
        <f t="shared" si="0"/>
        <v>1175</v>
      </c>
      <c r="J28" s="15">
        <f t="shared" si="1"/>
        <v>265</v>
      </c>
      <c r="K28" s="16" t="s">
        <v>57</v>
      </c>
      <c r="L28" s="16" t="s">
        <v>50</v>
      </c>
      <c r="M28" s="16" t="s">
        <v>61</v>
      </c>
      <c r="N28" s="17" t="s">
        <v>60</v>
      </c>
    </row>
    <row r="29" spans="1:14" x14ac:dyDescent="0.3">
      <c r="A29" s="13">
        <v>46273</v>
      </c>
      <c r="B29" s="14">
        <v>440</v>
      </c>
      <c r="C29" s="14">
        <v>23</v>
      </c>
      <c r="D29" s="14">
        <v>90</v>
      </c>
      <c r="E29" s="14">
        <v>45</v>
      </c>
      <c r="F29" s="14">
        <v>480</v>
      </c>
      <c r="G29" s="14">
        <v>6</v>
      </c>
      <c r="H29" s="14">
        <v>30</v>
      </c>
      <c r="I29" s="15">
        <f t="shared" si="0"/>
        <v>1108</v>
      </c>
      <c r="J29" s="15">
        <f t="shared" si="1"/>
        <v>332</v>
      </c>
      <c r="K29" s="16" t="s">
        <v>57</v>
      </c>
      <c r="L29" s="16" t="s">
        <v>50</v>
      </c>
      <c r="M29" s="16" t="s">
        <v>61</v>
      </c>
      <c r="N29" s="17" t="s">
        <v>59</v>
      </c>
    </row>
    <row r="30" spans="1:14" x14ac:dyDescent="0.3">
      <c r="A30" s="13">
        <v>46274</v>
      </c>
      <c r="B30" s="14">
        <v>420</v>
      </c>
      <c r="C30" s="14">
        <v>25</v>
      </c>
      <c r="D30" s="14">
        <v>90</v>
      </c>
      <c r="E30" s="14">
        <v>60</v>
      </c>
      <c r="F30" s="14">
        <v>360</v>
      </c>
      <c r="G30" s="14">
        <v>4</v>
      </c>
      <c r="H30" s="14">
        <v>300</v>
      </c>
      <c r="I30" s="15">
        <f t="shared" si="0"/>
        <v>1255</v>
      </c>
      <c r="J30" s="15">
        <f t="shared" si="1"/>
        <v>185</v>
      </c>
      <c r="K30" s="16" t="s">
        <v>49</v>
      </c>
      <c r="L30" s="16" t="s">
        <v>50</v>
      </c>
      <c r="M30" s="16" t="s">
        <v>61</v>
      </c>
      <c r="N30" s="17" t="s">
        <v>59</v>
      </c>
    </row>
    <row r="31" spans="1:14" x14ac:dyDescent="0.3">
      <c r="A31" s="13">
        <v>46275</v>
      </c>
      <c r="B31" s="14">
        <v>420</v>
      </c>
      <c r="C31" s="14">
        <v>20</v>
      </c>
      <c r="D31" s="14">
        <v>60</v>
      </c>
      <c r="E31" s="14">
        <v>90</v>
      </c>
      <c r="F31" s="14">
        <v>420</v>
      </c>
      <c r="G31" s="14">
        <v>5</v>
      </c>
      <c r="H31" s="14">
        <v>60</v>
      </c>
      <c r="I31" s="15">
        <f t="shared" si="0"/>
        <v>1070</v>
      </c>
      <c r="J31" s="15">
        <f t="shared" si="1"/>
        <v>370</v>
      </c>
      <c r="K31" s="16" t="s">
        <v>49</v>
      </c>
      <c r="L31" s="16" t="s">
        <v>50</v>
      </c>
      <c r="M31" s="16" t="s">
        <v>61</v>
      </c>
      <c r="N31" s="17" t="s">
        <v>67</v>
      </c>
    </row>
    <row r="32" spans="1:14" x14ac:dyDescent="0.3">
      <c r="A32" s="13">
        <v>46276</v>
      </c>
      <c r="B32" s="14">
        <v>500</v>
      </c>
      <c r="C32" s="14">
        <v>30</v>
      </c>
      <c r="D32" s="14">
        <v>180</v>
      </c>
      <c r="E32" s="14">
        <v>90</v>
      </c>
      <c r="F32" s="14">
        <v>0</v>
      </c>
      <c r="G32" s="14">
        <v>0</v>
      </c>
      <c r="H32" s="14">
        <v>45</v>
      </c>
      <c r="I32" s="15">
        <f t="shared" si="0"/>
        <v>845</v>
      </c>
      <c r="J32" s="15">
        <f t="shared" si="1"/>
        <v>595</v>
      </c>
      <c r="K32" s="16" t="s">
        <v>64</v>
      </c>
      <c r="L32" s="16" t="s">
        <v>65</v>
      </c>
      <c r="M32" s="16" t="s">
        <v>61</v>
      </c>
      <c r="N32" s="17" t="s">
        <v>66</v>
      </c>
    </row>
    <row r="33" spans="1:14" x14ac:dyDescent="0.3">
      <c r="A33" s="13">
        <v>46277</v>
      </c>
      <c r="B33" s="14">
        <v>520</v>
      </c>
      <c r="C33" s="14">
        <v>30</v>
      </c>
      <c r="D33" s="14">
        <v>120</v>
      </c>
      <c r="E33" s="14">
        <v>90</v>
      </c>
      <c r="F33" s="14">
        <v>0</v>
      </c>
      <c r="G33" s="14">
        <v>0</v>
      </c>
      <c r="H33" s="14">
        <v>100</v>
      </c>
      <c r="I33" s="15">
        <f t="shared" si="0"/>
        <v>860</v>
      </c>
      <c r="J33" s="15">
        <f t="shared" si="1"/>
        <v>580</v>
      </c>
      <c r="K33" s="16" t="s">
        <v>49</v>
      </c>
      <c r="L33" s="16" t="s">
        <v>50</v>
      </c>
      <c r="M33" s="16" t="s">
        <v>61</v>
      </c>
      <c r="N33" s="17" t="s">
        <v>63</v>
      </c>
    </row>
    <row r="34" spans="1:14" x14ac:dyDescent="0.3">
      <c r="A34" s="13">
        <v>46278</v>
      </c>
      <c r="B34" s="14">
        <v>600</v>
      </c>
      <c r="C34" s="14">
        <v>15</v>
      </c>
      <c r="D34" s="14">
        <v>120</v>
      </c>
      <c r="E34" s="14">
        <v>60</v>
      </c>
      <c r="F34" s="14">
        <v>480</v>
      </c>
      <c r="G34" s="14">
        <v>6</v>
      </c>
      <c r="H34" s="14">
        <v>45</v>
      </c>
      <c r="I34" s="15">
        <f t="shared" si="0"/>
        <v>1320</v>
      </c>
      <c r="J34" s="15">
        <f t="shared" si="1"/>
        <v>120</v>
      </c>
      <c r="K34" s="16" t="s">
        <v>49</v>
      </c>
      <c r="L34" s="16" t="s">
        <v>50</v>
      </c>
      <c r="M34" s="16" t="s">
        <v>51</v>
      </c>
      <c r="N34" s="17" t="s">
        <v>60</v>
      </c>
    </row>
    <row r="35" spans="1:14" x14ac:dyDescent="0.3">
      <c r="A35" s="13">
        <v>46279</v>
      </c>
      <c r="B35" s="14">
        <v>480</v>
      </c>
      <c r="C35" s="14">
        <v>25</v>
      </c>
      <c r="D35" s="14">
        <v>60</v>
      </c>
      <c r="E35" s="14">
        <v>75</v>
      </c>
      <c r="F35" s="14">
        <v>480</v>
      </c>
      <c r="G35" s="14">
        <v>7</v>
      </c>
      <c r="H35" s="14">
        <v>30</v>
      </c>
      <c r="I35" s="15">
        <f t="shared" si="0"/>
        <v>1150</v>
      </c>
      <c r="J35" s="15">
        <f t="shared" si="1"/>
        <v>290</v>
      </c>
      <c r="K35" s="16" t="s">
        <v>49</v>
      </c>
      <c r="L35" s="16" t="s">
        <v>50</v>
      </c>
      <c r="M35" s="16" t="s">
        <v>68</v>
      </c>
      <c r="N35" s="17" t="s">
        <v>62</v>
      </c>
    </row>
    <row r="36" spans="1:14" x14ac:dyDescent="0.3">
      <c r="A36" s="13">
        <v>46280</v>
      </c>
      <c r="B36" s="14">
        <v>460</v>
      </c>
      <c r="C36" s="14">
        <v>20</v>
      </c>
      <c r="D36" s="14">
        <v>75</v>
      </c>
      <c r="E36" s="14">
        <v>60</v>
      </c>
      <c r="F36" s="14">
        <v>430</v>
      </c>
      <c r="G36" s="14">
        <v>6</v>
      </c>
      <c r="H36" s="14">
        <v>45</v>
      </c>
      <c r="I36" s="15">
        <f t="shared" si="0"/>
        <v>1090</v>
      </c>
      <c r="J36" s="15">
        <f t="shared" si="1"/>
        <v>350</v>
      </c>
      <c r="K36" s="16" t="s">
        <v>49</v>
      </c>
      <c r="L36" s="16" t="s">
        <v>50</v>
      </c>
      <c r="M36" s="16" t="s">
        <v>51</v>
      </c>
      <c r="N36" s="17" t="s">
        <v>62</v>
      </c>
    </row>
    <row r="37" spans="1:14" x14ac:dyDescent="0.3">
      <c r="A37" s="13">
        <v>46281</v>
      </c>
      <c r="B37" s="14">
        <v>500</v>
      </c>
      <c r="C37" s="14">
        <v>25</v>
      </c>
      <c r="D37" s="14">
        <v>120</v>
      </c>
      <c r="E37" s="14">
        <v>45</v>
      </c>
      <c r="F37" s="14">
        <v>400</v>
      </c>
      <c r="G37" s="14">
        <v>4</v>
      </c>
      <c r="H37" s="14">
        <v>60</v>
      </c>
      <c r="I37" s="15">
        <f t="shared" si="0"/>
        <v>1150</v>
      </c>
      <c r="J37" s="15">
        <f t="shared" si="1"/>
        <v>290</v>
      </c>
      <c r="K37" s="16" t="s">
        <v>49</v>
      </c>
      <c r="L37" s="16" t="s">
        <v>50</v>
      </c>
      <c r="M37" s="16" t="s">
        <v>51</v>
      </c>
      <c r="N37" s="17" t="s">
        <v>62</v>
      </c>
    </row>
    <row r="38" spans="1:14" x14ac:dyDescent="0.3">
      <c r="A38" s="13">
        <v>46282</v>
      </c>
      <c r="B38" s="14">
        <v>480</v>
      </c>
      <c r="C38" s="14">
        <v>20</v>
      </c>
      <c r="D38" s="14">
        <v>90</v>
      </c>
      <c r="E38" s="14">
        <v>45</v>
      </c>
      <c r="F38" s="14">
        <v>400</v>
      </c>
      <c r="G38" s="14">
        <v>5</v>
      </c>
      <c r="H38" s="14">
        <v>35</v>
      </c>
      <c r="I38" s="15">
        <f t="shared" si="0"/>
        <v>1070</v>
      </c>
      <c r="J38" s="15">
        <f t="shared" si="1"/>
        <v>370</v>
      </c>
      <c r="K38" s="16" t="s">
        <v>49</v>
      </c>
      <c r="L38" s="16" t="s">
        <v>50</v>
      </c>
      <c r="M38" s="16" t="s">
        <v>51</v>
      </c>
      <c r="N38" s="17" t="s">
        <v>60</v>
      </c>
    </row>
    <row r="39" spans="1:14" x14ac:dyDescent="0.3">
      <c r="A39" s="13">
        <v>46283</v>
      </c>
      <c r="B39" s="14">
        <v>580</v>
      </c>
      <c r="C39" s="14">
        <v>35</v>
      </c>
      <c r="D39" s="14">
        <v>180</v>
      </c>
      <c r="E39" s="14">
        <v>45</v>
      </c>
      <c r="F39" s="14">
        <v>0</v>
      </c>
      <c r="G39" s="14">
        <v>0</v>
      </c>
      <c r="H39" s="14">
        <v>35</v>
      </c>
      <c r="I39" s="15">
        <f t="shared" si="0"/>
        <v>875</v>
      </c>
      <c r="J39" s="15">
        <f t="shared" si="1"/>
        <v>565</v>
      </c>
      <c r="K39" s="16" t="s">
        <v>49</v>
      </c>
      <c r="L39" s="16" t="s">
        <v>50</v>
      </c>
      <c r="M39" s="16" t="s">
        <v>51</v>
      </c>
      <c r="N39" s="17" t="s">
        <v>60</v>
      </c>
    </row>
    <row r="40" spans="1:14" x14ac:dyDescent="0.3">
      <c r="A40" s="13">
        <v>46284</v>
      </c>
      <c r="B40" s="14">
        <v>520</v>
      </c>
      <c r="C40" s="14">
        <v>25</v>
      </c>
      <c r="D40" s="14">
        <v>120</v>
      </c>
      <c r="E40" s="14">
        <v>60</v>
      </c>
      <c r="F40" s="14">
        <v>0</v>
      </c>
      <c r="G40" s="14">
        <v>0</v>
      </c>
      <c r="H40" s="14">
        <v>40</v>
      </c>
      <c r="I40" s="15">
        <f t="shared" si="0"/>
        <v>765</v>
      </c>
      <c r="J40" s="15">
        <f t="shared" si="1"/>
        <v>675</v>
      </c>
      <c r="K40" s="16" t="s">
        <v>49</v>
      </c>
      <c r="L40" s="16" t="s">
        <v>50</v>
      </c>
      <c r="M40" s="16" t="s">
        <v>51</v>
      </c>
      <c r="N40" s="17" t="s">
        <v>60</v>
      </c>
    </row>
    <row r="41" spans="1:14" x14ac:dyDescent="0.3">
      <c r="A41" s="13">
        <v>46285</v>
      </c>
      <c r="B41" s="14">
        <v>480</v>
      </c>
      <c r="C41" s="14">
        <v>30</v>
      </c>
      <c r="D41" s="14">
        <v>120</v>
      </c>
      <c r="E41" s="14">
        <v>60</v>
      </c>
      <c r="F41" s="14">
        <v>250</v>
      </c>
      <c r="G41" s="14">
        <v>5</v>
      </c>
      <c r="H41" s="14">
        <v>35</v>
      </c>
      <c r="I41" s="15">
        <f t="shared" si="0"/>
        <v>975</v>
      </c>
      <c r="J41" s="15">
        <f t="shared" si="1"/>
        <v>465</v>
      </c>
      <c r="K41" s="16" t="s">
        <v>49</v>
      </c>
      <c r="L41" s="16" t="s">
        <v>50</v>
      </c>
      <c r="M41" s="16" t="s">
        <v>51</v>
      </c>
      <c r="N41" s="17" t="s">
        <v>60</v>
      </c>
    </row>
    <row r="42" spans="1:14" x14ac:dyDescent="0.3">
      <c r="A42" s="13">
        <v>46286</v>
      </c>
      <c r="B42" s="14">
        <v>500</v>
      </c>
      <c r="C42" s="14">
        <v>35</v>
      </c>
      <c r="D42" s="14">
        <v>90</v>
      </c>
      <c r="E42" s="14">
        <v>45</v>
      </c>
      <c r="F42" s="14">
        <v>300</v>
      </c>
      <c r="G42" s="14">
        <v>5</v>
      </c>
      <c r="H42" s="14">
        <v>35</v>
      </c>
      <c r="I42" s="15">
        <f t="shared" si="0"/>
        <v>1005</v>
      </c>
      <c r="J42" s="15">
        <f t="shared" si="1"/>
        <v>435</v>
      </c>
      <c r="K42" s="16" t="s">
        <v>49</v>
      </c>
      <c r="L42" s="16" t="s">
        <v>50</v>
      </c>
      <c r="M42" s="16" t="s">
        <v>51</v>
      </c>
      <c r="N42" s="17" t="s">
        <v>60</v>
      </c>
    </row>
    <row r="43" spans="1:14" x14ac:dyDescent="0.3">
      <c r="A43" s="13">
        <v>46287</v>
      </c>
      <c r="B43" s="14">
        <v>500</v>
      </c>
      <c r="C43" s="14">
        <v>30</v>
      </c>
      <c r="D43" s="14">
        <v>60</v>
      </c>
      <c r="E43" s="14">
        <v>60</v>
      </c>
      <c r="F43" s="14">
        <v>350</v>
      </c>
      <c r="G43" s="14">
        <v>6</v>
      </c>
      <c r="H43" s="14">
        <v>40</v>
      </c>
      <c r="I43" s="15">
        <f t="shared" si="0"/>
        <v>1040</v>
      </c>
      <c r="J43" s="15">
        <f t="shared" si="1"/>
        <v>400</v>
      </c>
      <c r="K43" s="16" t="s">
        <v>49</v>
      </c>
      <c r="L43" s="16" t="s">
        <v>50</v>
      </c>
      <c r="M43" s="16" t="s">
        <v>51</v>
      </c>
      <c r="N43" s="17" t="s">
        <v>60</v>
      </c>
    </row>
    <row r="44" spans="1:14" x14ac:dyDescent="0.3">
      <c r="A44" s="13">
        <v>46288</v>
      </c>
      <c r="B44" s="14">
        <v>520</v>
      </c>
      <c r="C44" s="14">
        <v>30</v>
      </c>
      <c r="D44" s="14">
        <v>70</v>
      </c>
      <c r="E44" s="14">
        <v>45</v>
      </c>
      <c r="F44" s="14">
        <v>250</v>
      </c>
      <c r="G44" s="14">
        <v>5</v>
      </c>
      <c r="H44" s="14">
        <v>30</v>
      </c>
      <c r="I44" s="15">
        <f t="shared" si="0"/>
        <v>945</v>
      </c>
      <c r="J44" s="15">
        <f t="shared" si="1"/>
        <v>495</v>
      </c>
      <c r="K44" s="16" t="s">
        <v>49</v>
      </c>
      <c r="L44" s="16" t="s">
        <v>50</v>
      </c>
      <c r="M44" s="16" t="s">
        <v>51</v>
      </c>
      <c r="N44" s="17" t="s">
        <v>60</v>
      </c>
    </row>
    <row r="45" spans="1:14" x14ac:dyDescent="0.3">
      <c r="A45" s="13">
        <v>46289</v>
      </c>
      <c r="B45" s="14">
        <v>480</v>
      </c>
      <c r="C45" s="14">
        <v>30</v>
      </c>
      <c r="D45" s="14">
        <v>90</v>
      </c>
      <c r="E45" s="14">
        <v>60</v>
      </c>
      <c r="F45" s="14">
        <v>200</v>
      </c>
      <c r="G45" s="14">
        <v>4</v>
      </c>
      <c r="H45" s="14">
        <v>45</v>
      </c>
      <c r="I45" s="15">
        <f t="shared" si="0"/>
        <v>905</v>
      </c>
      <c r="J45" s="15">
        <f t="shared" si="1"/>
        <v>535</v>
      </c>
      <c r="K45" s="16" t="s">
        <v>49</v>
      </c>
      <c r="L45" s="16" t="s">
        <v>50</v>
      </c>
      <c r="M45" s="16" t="s">
        <v>51</v>
      </c>
      <c r="N45" s="17" t="s">
        <v>60</v>
      </c>
    </row>
    <row r="46" spans="1:14" x14ac:dyDescent="0.3">
      <c r="A46" s="13">
        <v>46290</v>
      </c>
      <c r="B46" s="14">
        <v>450</v>
      </c>
      <c r="C46" s="14">
        <v>30</v>
      </c>
      <c r="D46" s="14">
        <v>90</v>
      </c>
      <c r="E46" s="14">
        <v>45</v>
      </c>
      <c r="F46" s="14">
        <v>250</v>
      </c>
      <c r="G46" s="14">
        <v>5</v>
      </c>
      <c r="H46" s="14">
        <v>60</v>
      </c>
      <c r="I46" s="15">
        <f t="shared" si="0"/>
        <v>925</v>
      </c>
      <c r="J46" s="15">
        <f t="shared" si="1"/>
        <v>515</v>
      </c>
      <c r="K46" s="16" t="s">
        <v>49</v>
      </c>
      <c r="L46" s="16" t="s">
        <v>50</v>
      </c>
      <c r="M46" s="16" t="s">
        <v>51</v>
      </c>
      <c r="N46" s="17" t="s">
        <v>60</v>
      </c>
    </row>
    <row r="47" spans="1:14" x14ac:dyDescent="0.3">
      <c r="A47" s="13">
        <v>46291</v>
      </c>
      <c r="B47" s="14">
        <v>580</v>
      </c>
      <c r="C47" s="14">
        <v>35</v>
      </c>
      <c r="D47" s="14">
        <v>90</v>
      </c>
      <c r="E47" s="14">
        <v>100</v>
      </c>
      <c r="F47" s="14">
        <v>0</v>
      </c>
      <c r="G47" s="14">
        <v>0</v>
      </c>
      <c r="H47" s="14">
        <v>120</v>
      </c>
      <c r="I47" s="15">
        <f t="shared" si="0"/>
        <v>925</v>
      </c>
      <c r="J47" s="15">
        <f t="shared" si="1"/>
        <v>515</v>
      </c>
      <c r="K47" s="16" t="s">
        <v>49</v>
      </c>
      <c r="L47" s="16" t="s">
        <v>50</v>
      </c>
      <c r="M47" s="16" t="s">
        <v>51</v>
      </c>
      <c r="N47" s="17" t="s">
        <v>60</v>
      </c>
    </row>
    <row r="48" spans="1:14" x14ac:dyDescent="0.3">
      <c r="A48" s="13">
        <v>46292</v>
      </c>
      <c r="B48" s="14">
        <v>600</v>
      </c>
      <c r="C48" s="14">
        <v>45</v>
      </c>
      <c r="D48" s="14">
        <v>120</v>
      </c>
      <c r="E48" s="14">
        <v>100</v>
      </c>
      <c r="F48" s="14">
        <v>0</v>
      </c>
      <c r="G48" s="14">
        <v>0</v>
      </c>
      <c r="H48" s="14">
        <v>120</v>
      </c>
      <c r="I48" s="15">
        <f t="shared" si="0"/>
        <v>985</v>
      </c>
      <c r="J48" s="15">
        <f t="shared" si="1"/>
        <v>455</v>
      </c>
      <c r="K48" s="16" t="s">
        <v>49</v>
      </c>
      <c r="L48" s="16" t="s">
        <v>50</v>
      </c>
      <c r="M48" s="16" t="s">
        <v>51</v>
      </c>
      <c r="N48" s="17" t="s">
        <v>60</v>
      </c>
    </row>
    <row r="49" spans="1:14" x14ac:dyDescent="0.3">
      <c r="A49" s="13">
        <v>46293</v>
      </c>
      <c r="B49" s="14">
        <v>580</v>
      </c>
      <c r="C49" s="14">
        <v>45</v>
      </c>
      <c r="D49" s="14">
        <v>120</v>
      </c>
      <c r="E49" s="14">
        <v>120</v>
      </c>
      <c r="F49" s="14">
        <v>0</v>
      </c>
      <c r="G49" s="14">
        <v>0</v>
      </c>
      <c r="H49" s="14">
        <v>150</v>
      </c>
      <c r="I49" s="15">
        <f t="shared" si="0"/>
        <v>1015</v>
      </c>
      <c r="J49" s="15">
        <f t="shared" si="1"/>
        <v>425</v>
      </c>
      <c r="K49" s="16" t="s">
        <v>49</v>
      </c>
      <c r="L49" s="16" t="s">
        <v>50</v>
      </c>
      <c r="M49" s="16" t="s">
        <v>51</v>
      </c>
      <c r="N49" s="17" t="s">
        <v>60</v>
      </c>
    </row>
    <row r="50" spans="1:14" x14ac:dyDescent="0.3">
      <c r="A50" s="13">
        <v>46294</v>
      </c>
      <c r="B50" s="14">
        <v>600</v>
      </c>
      <c r="C50" s="14">
        <v>45</v>
      </c>
      <c r="D50" s="14">
        <v>120</v>
      </c>
      <c r="E50" s="14">
        <v>150</v>
      </c>
      <c r="F50" s="14">
        <v>0</v>
      </c>
      <c r="G50" s="14">
        <v>0</v>
      </c>
      <c r="H50" s="14">
        <v>120</v>
      </c>
      <c r="I50" s="15">
        <f t="shared" si="0"/>
        <v>1035</v>
      </c>
      <c r="J50" s="15">
        <f t="shared" si="1"/>
        <v>405</v>
      </c>
      <c r="K50" s="16" t="s">
        <v>49</v>
      </c>
      <c r="L50" s="16" t="s">
        <v>50</v>
      </c>
      <c r="M50" s="16" t="s">
        <v>51</v>
      </c>
      <c r="N50" s="17" t="s">
        <v>60</v>
      </c>
    </row>
    <row r="51" spans="1:14" x14ac:dyDescent="0.3">
      <c r="A51" s="13">
        <v>46295</v>
      </c>
      <c r="B51" s="14">
        <v>600</v>
      </c>
      <c r="C51" s="14">
        <v>45</v>
      </c>
      <c r="D51" s="14">
        <v>120</v>
      </c>
      <c r="E51" s="14">
        <v>150</v>
      </c>
      <c r="F51" s="14">
        <v>0</v>
      </c>
      <c r="G51" s="14">
        <v>0</v>
      </c>
      <c r="H51" s="14">
        <v>120</v>
      </c>
      <c r="I51" s="15">
        <f t="shared" si="0"/>
        <v>1035</v>
      </c>
      <c r="J51" s="15">
        <v>405</v>
      </c>
      <c r="K51" s="16" t="s">
        <v>49</v>
      </c>
      <c r="L51" s="16" t="s">
        <v>50</v>
      </c>
      <c r="M51" s="16" t="s">
        <v>51</v>
      </c>
      <c r="N51" s="17" t="s">
        <v>60</v>
      </c>
    </row>
    <row r="52" spans="1:14" x14ac:dyDescent="0.3">
      <c r="A52" s="13">
        <v>46296</v>
      </c>
      <c r="B52" s="14">
        <v>600</v>
      </c>
      <c r="C52" s="14">
        <v>45</v>
      </c>
      <c r="D52" s="14">
        <v>120</v>
      </c>
      <c r="E52" s="14">
        <v>150</v>
      </c>
      <c r="F52" s="14">
        <v>0</v>
      </c>
      <c r="G52" s="14">
        <v>0</v>
      </c>
      <c r="H52" s="14">
        <v>120</v>
      </c>
      <c r="I52" s="15">
        <f t="shared" si="0"/>
        <v>1035</v>
      </c>
      <c r="J52" s="15">
        <f t="shared" si="1"/>
        <v>405</v>
      </c>
      <c r="K52" s="16" t="s">
        <v>49</v>
      </c>
      <c r="L52" s="16" t="s">
        <v>50</v>
      </c>
      <c r="M52" s="16" t="s">
        <v>51</v>
      </c>
      <c r="N52" s="17" t="s">
        <v>60</v>
      </c>
    </row>
    <row r="53" spans="1:14" x14ac:dyDescent="0.3">
      <c r="A53" s="13">
        <v>46297</v>
      </c>
      <c r="B53" s="14">
        <v>600</v>
      </c>
      <c r="C53" s="14">
        <v>45</v>
      </c>
      <c r="D53" s="14">
        <v>100</v>
      </c>
      <c r="E53" s="14">
        <v>180</v>
      </c>
      <c r="F53" s="14">
        <v>0</v>
      </c>
      <c r="G53" s="14">
        <v>0</v>
      </c>
      <c r="H53" s="14">
        <v>120</v>
      </c>
      <c r="I53" s="15">
        <f t="shared" si="0"/>
        <v>1045</v>
      </c>
      <c r="J53" s="15">
        <f t="shared" si="1"/>
        <v>395</v>
      </c>
      <c r="K53" s="16" t="s">
        <v>49</v>
      </c>
      <c r="L53" s="16" t="s">
        <v>50</v>
      </c>
      <c r="M53" s="16" t="s">
        <v>51</v>
      </c>
      <c r="N53" s="17" t="s">
        <v>60</v>
      </c>
    </row>
    <row r="54" spans="1:14" x14ac:dyDescent="0.3">
      <c r="A54" s="13">
        <v>46298</v>
      </c>
      <c r="B54" s="14">
        <v>600</v>
      </c>
      <c r="C54" s="14">
        <v>45</v>
      </c>
      <c r="D54" s="14">
        <v>100</v>
      </c>
      <c r="E54" s="14">
        <v>150</v>
      </c>
      <c r="F54" s="14">
        <v>0</v>
      </c>
      <c r="G54" s="14">
        <v>0</v>
      </c>
      <c r="H54" s="14">
        <v>120</v>
      </c>
      <c r="I54" s="15">
        <f t="shared" si="0"/>
        <v>1015</v>
      </c>
      <c r="J54" s="15">
        <f t="shared" si="1"/>
        <v>425</v>
      </c>
      <c r="K54" s="16" t="s">
        <v>49</v>
      </c>
      <c r="L54" s="16" t="s">
        <v>50</v>
      </c>
      <c r="M54" s="16" t="s">
        <v>51</v>
      </c>
      <c r="N54" s="17" t="s">
        <v>60</v>
      </c>
    </row>
    <row r="55" spans="1:14" x14ac:dyDescent="0.3">
      <c r="A55" s="13">
        <v>46299</v>
      </c>
      <c r="B55" s="14">
        <v>580</v>
      </c>
      <c r="C55" s="14">
        <v>45</v>
      </c>
      <c r="D55" s="14">
        <v>120</v>
      </c>
      <c r="E55" s="14">
        <v>150</v>
      </c>
      <c r="F55" s="14">
        <v>0</v>
      </c>
      <c r="G55" s="14">
        <v>0</v>
      </c>
      <c r="H55" s="14">
        <v>120</v>
      </c>
      <c r="I55" s="15">
        <f t="shared" si="0"/>
        <v>1015</v>
      </c>
      <c r="J55" s="15">
        <f t="shared" si="1"/>
        <v>425</v>
      </c>
      <c r="K55" s="16" t="s">
        <v>49</v>
      </c>
      <c r="L55" s="16" t="s">
        <v>50</v>
      </c>
      <c r="M55" s="16" t="s">
        <v>51</v>
      </c>
      <c r="N55" s="17" t="s">
        <v>60</v>
      </c>
    </row>
    <row r="56" spans="1:14" x14ac:dyDescent="0.3">
      <c r="A56" s="13">
        <v>46300</v>
      </c>
      <c r="B56" s="14">
        <v>540</v>
      </c>
      <c r="C56" s="14">
        <v>45</v>
      </c>
      <c r="D56" s="14">
        <v>120</v>
      </c>
      <c r="E56" s="14">
        <v>120</v>
      </c>
      <c r="F56" s="14">
        <v>0</v>
      </c>
      <c r="G56" s="14">
        <v>0</v>
      </c>
      <c r="H56" s="14">
        <v>120</v>
      </c>
      <c r="I56" s="15">
        <f t="shared" si="0"/>
        <v>945</v>
      </c>
      <c r="J56" s="15">
        <f t="shared" si="1"/>
        <v>495</v>
      </c>
      <c r="K56" s="16" t="s">
        <v>49</v>
      </c>
      <c r="L56" s="16" t="s">
        <v>50</v>
      </c>
      <c r="M56" s="16" t="s">
        <v>51</v>
      </c>
      <c r="N56" s="17" t="s">
        <v>60</v>
      </c>
    </row>
    <row r="57" spans="1:14" x14ac:dyDescent="0.3">
      <c r="A57" s="13">
        <v>46301</v>
      </c>
      <c r="B57" s="14">
        <v>550</v>
      </c>
      <c r="C57" s="14">
        <v>45</v>
      </c>
      <c r="D57" s="14">
        <v>120</v>
      </c>
      <c r="E57" s="14">
        <v>100</v>
      </c>
      <c r="F57" s="14">
        <v>0</v>
      </c>
      <c r="G57" s="14">
        <v>0</v>
      </c>
      <c r="H57" s="14">
        <v>120</v>
      </c>
      <c r="I57" s="15">
        <f t="shared" si="0"/>
        <v>935</v>
      </c>
      <c r="J57" s="15">
        <f t="shared" si="1"/>
        <v>505</v>
      </c>
      <c r="K57" s="16" t="s">
        <v>49</v>
      </c>
      <c r="L57" s="16" t="s">
        <v>50</v>
      </c>
      <c r="M57" s="16" t="s">
        <v>51</v>
      </c>
      <c r="N57" s="17" t="s">
        <v>60</v>
      </c>
    </row>
    <row r="58" spans="1:14" x14ac:dyDescent="0.3">
      <c r="A58" s="13">
        <v>46302</v>
      </c>
      <c r="B58" s="14">
        <v>600</v>
      </c>
      <c r="C58" s="14">
        <v>45</v>
      </c>
      <c r="D58" s="14">
        <v>120</v>
      </c>
      <c r="E58" s="14">
        <v>120</v>
      </c>
      <c r="F58" s="14">
        <v>0</v>
      </c>
      <c r="G58" s="14">
        <v>0</v>
      </c>
      <c r="H58" s="14">
        <v>120</v>
      </c>
      <c r="I58" s="15">
        <f t="shared" si="0"/>
        <v>1005</v>
      </c>
      <c r="J58" s="15">
        <f t="shared" si="1"/>
        <v>435</v>
      </c>
      <c r="K58" s="16" t="s">
        <v>49</v>
      </c>
      <c r="L58" s="16" t="s">
        <v>50</v>
      </c>
      <c r="M58" s="16" t="s">
        <v>51</v>
      </c>
      <c r="N58" s="17" t="s">
        <v>60</v>
      </c>
    </row>
    <row r="59" spans="1:14" x14ac:dyDescent="0.3">
      <c r="A59" s="13">
        <v>46303</v>
      </c>
      <c r="B59" s="14">
        <v>480</v>
      </c>
      <c r="C59" s="14">
        <v>45</v>
      </c>
      <c r="D59" s="14">
        <v>120</v>
      </c>
      <c r="E59" s="14">
        <v>150</v>
      </c>
      <c r="F59" s="14">
        <v>0</v>
      </c>
      <c r="G59" s="14">
        <v>0</v>
      </c>
      <c r="H59" s="14">
        <v>120</v>
      </c>
      <c r="I59" s="15">
        <f t="shared" si="0"/>
        <v>915</v>
      </c>
      <c r="J59" s="15">
        <f t="shared" si="1"/>
        <v>525</v>
      </c>
      <c r="K59" s="16" t="s">
        <v>49</v>
      </c>
      <c r="L59" s="16" t="s">
        <v>50</v>
      </c>
      <c r="M59" s="16" t="s">
        <v>51</v>
      </c>
      <c r="N59" s="17" t="s">
        <v>60</v>
      </c>
    </row>
    <row r="60" spans="1:14" x14ac:dyDescent="0.3">
      <c r="A60" s="13">
        <v>46304</v>
      </c>
      <c r="B60" s="14">
        <v>450</v>
      </c>
      <c r="C60" s="14">
        <v>45</v>
      </c>
      <c r="D60" s="14">
        <v>120</v>
      </c>
      <c r="E60" s="14">
        <v>120</v>
      </c>
      <c r="F60" s="14">
        <v>0</v>
      </c>
      <c r="G60" s="14">
        <v>0</v>
      </c>
      <c r="H60" s="14">
        <v>120</v>
      </c>
      <c r="I60" s="15">
        <f t="shared" si="0"/>
        <v>855</v>
      </c>
      <c r="J60" s="15">
        <f t="shared" si="1"/>
        <v>585</v>
      </c>
      <c r="K60" s="16" t="s">
        <v>49</v>
      </c>
      <c r="L60" s="16" t="s">
        <v>50</v>
      </c>
      <c r="M60" s="16" t="s">
        <v>51</v>
      </c>
      <c r="N60" s="17" t="s">
        <v>60</v>
      </c>
    </row>
    <row r="61" spans="1:14" x14ac:dyDescent="0.3">
      <c r="A61" s="13">
        <v>46305</v>
      </c>
      <c r="B61" s="14">
        <v>480</v>
      </c>
      <c r="C61" s="14">
        <v>45</v>
      </c>
      <c r="D61" s="14">
        <v>120</v>
      </c>
      <c r="E61" s="14">
        <v>60</v>
      </c>
      <c r="F61" s="14">
        <v>0</v>
      </c>
      <c r="G61" s="14">
        <v>0</v>
      </c>
      <c r="H61" s="14">
        <v>120</v>
      </c>
      <c r="I61" s="15">
        <f t="shared" si="0"/>
        <v>825</v>
      </c>
      <c r="J61" s="15">
        <f t="shared" si="1"/>
        <v>615</v>
      </c>
      <c r="K61" s="16" t="s">
        <v>49</v>
      </c>
      <c r="L61" s="16" t="s">
        <v>50</v>
      </c>
      <c r="M61" s="16" t="s">
        <v>51</v>
      </c>
      <c r="N61" s="17" t="s">
        <v>60</v>
      </c>
    </row>
    <row r="62" spans="1:14" x14ac:dyDescent="0.3">
      <c r="A62" s="13">
        <v>46306</v>
      </c>
      <c r="B62" s="14">
        <v>500</v>
      </c>
      <c r="C62" s="14">
        <v>45</v>
      </c>
      <c r="D62" s="14">
        <v>200</v>
      </c>
      <c r="E62" s="14">
        <v>30</v>
      </c>
      <c r="F62" s="14">
        <v>0</v>
      </c>
      <c r="G62" s="14">
        <v>0</v>
      </c>
      <c r="H62" s="14">
        <v>120</v>
      </c>
      <c r="I62" s="15">
        <f t="shared" si="0"/>
        <v>895</v>
      </c>
      <c r="J62" s="15">
        <f t="shared" si="1"/>
        <v>545</v>
      </c>
      <c r="K62" s="16" t="s">
        <v>49</v>
      </c>
      <c r="L62" s="16" t="s">
        <v>50</v>
      </c>
      <c r="M62" s="16" t="s">
        <v>51</v>
      </c>
      <c r="N62" s="17" t="s">
        <v>60</v>
      </c>
    </row>
    <row r="63" spans="1:14" x14ac:dyDescent="0.3">
      <c r="A63" s="13">
        <v>46307</v>
      </c>
      <c r="B63" s="14">
        <v>550</v>
      </c>
      <c r="C63" s="14">
        <v>45</v>
      </c>
      <c r="D63" s="14">
        <v>220</v>
      </c>
      <c r="E63" s="14">
        <v>30</v>
      </c>
      <c r="F63" s="14">
        <v>0</v>
      </c>
      <c r="G63" s="14">
        <v>0</v>
      </c>
      <c r="H63" s="14">
        <v>120</v>
      </c>
      <c r="I63" s="15">
        <f t="shared" si="0"/>
        <v>965</v>
      </c>
      <c r="J63" s="15">
        <f t="shared" si="1"/>
        <v>475</v>
      </c>
      <c r="K63" s="16" t="s">
        <v>49</v>
      </c>
      <c r="L63" s="16" t="s">
        <v>50</v>
      </c>
      <c r="M63" s="16" t="s">
        <v>51</v>
      </c>
      <c r="N63" s="17" t="s">
        <v>60</v>
      </c>
    </row>
    <row r="64" spans="1:14" x14ac:dyDescent="0.3">
      <c r="A64" s="13">
        <v>46308</v>
      </c>
      <c r="B64" s="14">
        <v>480</v>
      </c>
      <c r="C64" s="14">
        <v>45</v>
      </c>
      <c r="D64" s="14">
        <v>250</v>
      </c>
      <c r="E64" s="14">
        <v>30</v>
      </c>
      <c r="F64" s="14">
        <v>0</v>
      </c>
      <c r="G64" s="14">
        <v>0</v>
      </c>
      <c r="H64" s="14">
        <v>120</v>
      </c>
      <c r="I64" s="15">
        <f t="shared" si="0"/>
        <v>925</v>
      </c>
      <c r="J64" s="15">
        <f t="shared" si="1"/>
        <v>515</v>
      </c>
      <c r="K64" s="16" t="s">
        <v>49</v>
      </c>
      <c r="L64" s="16" t="s">
        <v>50</v>
      </c>
      <c r="M64" s="16" t="s">
        <v>51</v>
      </c>
      <c r="N64" s="17" t="s">
        <v>60</v>
      </c>
    </row>
    <row r="65" spans="1:14" x14ac:dyDescent="0.3">
      <c r="A65" s="13">
        <v>46309</v>
      </c>
      <c r="B65" s="14">
        <v>400</v>
      </c>
      <c r="C65" s="14">
        <v>45</v>
      </c>
      <c r="D65" s="14">
        <v>300</v>
      </c>
      <c r="E65" s="14">
        <v>30</v>
      </c>
      <c r="F65" s="14">
        <v>0</v>
      </c>
      <c r="G65" s="14">
        <v>0</v>
      </c>
      <c r="H65" s="14">
        <v>120</v>
      </c>
      <c r="I65" s="15">
        <f t="shared" si="0"/>
        <v>895</v>
      </c>
      <c r="J65" s="15">
        <f t="shared" si="1"/>
        <v>545</v>
      </c>
      <c r="K65" s="16" t="s">
        <v>49</v>
      </c>
      <c r="L65" s="16" t="s">
        <v>50</v>
      </c>
      <c r="M65" s="16" t="s">
        <v>51</v>
      </c>
      <c r="N65" s="17" t="s">
        <v>60</v>
      </c>
    </row>
    <row r="66" spans="1:14" x14ac:dyDescent="0.3">
      <c r="A66" s="13">
        <v>46310</v>
      </c>
      <c r="B66" s="14">
        <v>420</v>
      </c>
      <c r="C66" s="14">
        <v>45</v>
      </c>
      <c r="D66" s="14">
        <v>250</v>
      </c>
      <c r="E66" s="14">
        <v>30</v>
      </c>
      <c r="F66" s="14">
        <v>0</v>
      </c>
      <c r="G66" s="14">
        <v>0</v>
      </c>
      <c r="H66" s="14">
        <v>120</v>
      </c>
      <c r="I66" s="15">
        <f t="shared" si="0"/>
        <v>865</v>
      </c>
      <c r="J66" s="15">
        <f t="shared" si="1"/>
        <v>575</v>
      </c>
      <c r="K66" s="16" t="s">
        <v>49</v>
      </c>
      <c r="L66" s="16" t="s">
        <v>50</v>
      </c>
      <c r="M66" s="16" t="s">
        <v>51</v>
      </c>
      <c r="N66" s="17" t="s">
        <v>60</v>
      </c>
    </row>
    <row r="67" spans="1:14" x14ac:dyDescent="0.3">
      <c r="A67" s="13">
        <v>46311</v>
      </c>
      <c r="B67" s="14">
        <v>400</v>
      </c>
      <c r="C67" s="14">
        <v>45</v>
      </c>
      <c r="D67" s="14">
        <v>200</v>
      </c>
      <c r="E67" s="14">
        <v>30</v>
      </c>
      <c r="F67" s="14">
        <v>0</v>
      </c>
      <c r="G67" s="14">
        <v>0</v>
      </c>
      <c r="H67" s="14">
        <v>120</v>
      </c>
      <c r="I67" s="15">
        <f t="shared" si="0"/>
        <v>795</v>
      </c>
      <c r="J67" s="15">
        <f t="shared" si="1"/>
        <v>645</v>
      </c>
      <c r="K67" s="16" t="s">
        <v>49</v>
      </c>
      <c r="L67" s="16" t="s">
        <v>50</v>
      </c>
      <c r="M67" s="16" t="s">
        <v>51</v>
      </c>
      <c r="N67" s="17" t="s">
        <v>60</v>
      </c>
    </row>
    <row r="68" spans="1:14" x14ac:dyDescent="0.3">
      <c r="A68" s="13">
        <v>46312</v>
      </c>
      <c r="B68" s="14">
        <v>500</v>
      </c>
      <c r="C68" s="14">
        <v>45</v>
      </c>
      <c r="D68" s="14">
        <v>120</v>
      </c>
      <c r="E68" s="14">
        <v>30</v>
      </c>
      <c r="F68" s="14">
        <v>0</v>
      </c>
      <c r="G68" s="14">
        <v>0</v>
      </c>
      <c r="H68" s="14">
        <v>120</v>
      </c>
      <c r="I68" s="15">
        <f t="shared" si="0"/>
        <v>815</v>
      </c>
      <c r="J68" s="15">
        <f t="shared" si="1"/>
        <v>625</v>
      </c>
      <c r="K68" s="16" t="s">
        <v>49</v>
      </c>
      <c r="L68" s="16" t="s">
        <v>50</v>
      </c>
      <c r="M68" s="16" t="s">
        <v>51</v>
      </c>
      <c r="N68" s="17" t="s">
        <v>60</v>
      </c>
    </row>
    <row r="69" spans="1:14" x14ac:dyDescent="0.3">
      <c r="A69" s="13">
        <v>46313</v>
      </c>
      <c r="B69" s="14">
        <v>600</v>
      </c>
      <c r="C69" s="14">
        <v>45</v>
      </c>
      <c r="D69" s="14">
        <v>120</v>
      </c>
      <c r="E69" s="14">
        <v>30</v>
      </c>
      <c r="F69" s="14">
        <v>0</v>
      </c>
      <c r="G69" s="14">
        <v>0</v>
      </c>
      <c r="H69" s="14">
        <v>120</v>
      </c>
      <c r="I69" s="15">
        <f t="shared" si="0"/>
        <v>915</v>
      </c>
      <c r="J69" s="15">
        <f t="shared" si="1"/>
        <v>525</v>
      </c>
      <c r="K69" s="16" t="s">
        <v>49</v>
      </c>
      <c r="L69" s="16" t="s">
        <v>50</v>
      </c>
      <c r="M69" s="16" t="s">
        <v>51</v>
      </c>
      <c r="N69" s="17" t="s">
        <v>60</v>
      </c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0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0"/>
        <v/>
      </c>
      <c r="J71" s="15" t="str">
        <f t="shared" si="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0"/>
        <v/>
      </c>
      <c r="J72" s="15" t="str">
        <f t="shared" si="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0"/>
        <v/>
      </c>
      <c r="J73" s="15" t="str">
        <f t="shared" si="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0"/>
        <v/>
      </c>
      <c r="J74" s="15" t="str">
        <f t="shared" si="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0"/>
        <v/>
      </c>
      <c r="J75" s="15" t="str">
        <f t="shared" si="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0"/>
        <v/>
      </c>
      <c r="J76" s="15" t="str">
        <f t="shared" si="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0"/>
        <v/>
      </c>
      <c r="J77" s="15" t="str">
        <f t="shared" si="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ref="I78:I141" si="5">IF(SUM(B78:F78,H78)=0,"",SUM(B78:F78,H78))</f>
        <v/>
      </c>
      <c r="J78" s="15" t="str">
        <f t="shared" ref="J78:J141" si="6">IF(I78="","",1440-I78)</f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5"/>
        <v/>
      </c>
      <c r="J79" s="15" t="str">
        <f t="shared" si="6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5"/>
        <v/>
      </c>
      <c r="J80" s="15" t="str">
        <f t="shared" si="6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5"/>
        <v/>
      </c>
      <c r="J81" s="15" t="str">
        <f t="shared" si="6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5"/>
        <v/>
      </c>
      <c r="J82" s="15" t="str">
        <f t="shared" si="6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5"/>
        <v/>
      </c>
      <c r="J83" s="15" t="str">
        <f t="shared" si="6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5"/>
        <v/>
      </c>
      <c r="J84" s="15" t="str">
        <f t="shared" si="6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5"/>
        <v/>
      </c>
      <c r="J85" s="15" t="str">
        <f t="shared" si="6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5"/>
        <v/>
      </c>
      <c r="J86" s="15" t="str">
        <f t="shared" si="6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5"/>
        <v/>
      </c>
      <c r="J87" s="15" t="str">
        <f t="shared" si="6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5"/>
        <v/>
      </c>
      <c r="J88" s="15" t="str">
        <f t="shared" si="6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5"/>
        <v/>
      </c>
      <c r="J89" s="15" t="str">
        <f t="shared" si="6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5"/>
        <v/>
      </c>
      <c r="J90" s="15" t="str">
        <f t="shared" si="6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5"/>
        <v/>
      </c>
      <c r="J91" s="15" t="str">
        <f t="shared" si="6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5"/>
        <v/>
      </c>
      <c r="J92" s="15" t="str">
        <f t="shared" si="6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5"/>
        <v/>
      </c>
      <c r="J93" s="15" t="str">
        <f t="shared" si="6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5"/>
        <v/>
      </c>
      <c r="J94" s="15" t="str">
        <f t="shared" si="6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5"/>
        <v/>
      </c>
      <c r="J95" s="15" t="str">
        <f t="shared" si="6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5"/>
        <v/>
      </c>
      <c r="J96" s="15" t="str">
        <f t="shared" si="6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5"/>
        <v/>
      </c>
      <c r="J97" s="15" t="str">
        <f t="shared" si="6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5"/>
        <v/>
      </c>
      <c r="J98" s="15" t="str">
        <f t="shared" si="6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5"/>
        <v/>
      </c>
      <c r="J99" s="15" t="str">
        <f t="shared" si="6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5"/>
        <v/>
      </c>
      <c r="J100" s="15" t="str">
        <f t="shared" si="6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5"/>
        <v/>
      </c>
      <c r="J101" s="15" t="str">
        <f t="shared" si="6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5"/>
        <v/>
      </c>
      <c r="J102" s="15" t="str">
        <f t="shared" si="6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5"/>
        <v/>
      </c>
      <c r="J103" s="15" t="str">
        <f t="shared" si="6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5"/>
        <v/>
      </c>
      <c r="J104" s="15" t="str">
        <f t="shared" si="6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5"/>
        <v/>
      </c>
      <c r="J105" s="15" t="str">
        <f t="shared" si="6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5"/>
        <v/>
      </c>
      <c r="J106" s="15" t="str">
        <f t="shared" si="6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5"/>
        <v/>
      </c>
      <c r="J107" s="15" t="str">
        <f t="shared" si="6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5"/>
        <v/>
      </c>
      <c r="J108" s="15" t="str">
        <f t="shared" si="6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5"/>
        <v/>
      </c>
      <c r="J109" s="15" t="str">
        <f t="shared" si="6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5"/>
        <v/>
      </c>
      <c r="J110" s="15" t="str">
        <f t="shared" si="6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5"/>
        <v/>
      </c>
      <c r="J111" s="15" t="str">
        <f t="shared" si="6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5"/>
        <v/>
      </c>
      <c r="J112" s="15" t="str">
        <f t="shared" si="6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5"/>
        <v/>
      </c>
      <c r="J113" s="15" t="str">
        <f t="shared" si="6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5"/>
        <v/>
      </c>
      <c r="J114" s="15" t="str">
        <f t="shared" si="6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5"/>
        <v/>
      </c>
      <c r="J115" s="15" t="str">
        <f t="shared" si="6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5"/>
        <v/>
      </c>
      <c r="J116" s="15" t="str">
        <f t="shared" si="6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5"/>
        <v/>
      </c>
      <c r="J117" s="15" t="str">
        <f t="shared" si="6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5"/>
        <v/>
      </c>
      <c r="J118" s="15" t="str">
        <f t="shared" si="6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5"/>
        <v/>
      </c>
      <c r="J119" s="15" t="str">
        <f t="shared" si="6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5"/>
        <v/>
      </c>
      <c r="J120" s="15" t="str">
        <f t="shared" si="6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5"/>
        <v/>
      </c>
      <c r="J121" s="15" t="str">
        <f t="shared" si="6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5"/>
        <v/>
      </c>
      <c r="J122" s="15" t="str">
        <f t="shared" si="6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5"/>
        <v/>
      </c>
      <c r="J123" s="15" t="str">
        <f t="shared" si="6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5"/>
        <v/>
      </c>
      <c r="J124" s="15" t="str">
        <f t="shared" si="6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5"/>
        <v/>
      </c>
      <c r="J125" s="15" t="str">
        <f t="shared" si="6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5"/>
        <v/>
      </c>
      <c r="J126" s="15" t="str">
        <f t="shared" si="6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5"/>
        <v/>
      </c>
      <c r="J127" s="15" t="str">
        <f t="shared" si="6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5"/>
        <v/>
      </c>
      <c r="J128" s="15" t="str">
        <f t="shared" si="6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5"/>
        <v/>
      </c>
      <c r="J129" s="15" t="str">
        <f t="shared" si="6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5"/>
        <v/>
      </c>
      <c r="J130" s="15" t="str">
        <f t="shared" si="6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5"/>
        <v/>
      </c>
      <c r="J131" s="15" t="str">
        <f t="shared" si="6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5"/>
        <v/>
      </c>
      <c r="J132" s="15" t="str">
        <f t="shared" si="6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5"/>
        <v/>
      </c>
      <c r="J133" s="15" t="str">
        <f t="shared" si="6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si="6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6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6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6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6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6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6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6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ref="I142:I205" si="7">IF(SUM(B142:F142,H142)=0,"",SUM(B142:F142,H142))</f>
        <v/>
      </c>
      <c r="J142" s="15" t="str">
        <f t="shared" ref="J142:J205" si="8">IF(I142="","",1440-I142)</f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7"/>
        <v/>
      </c>
      <c r="J143" s="15" t="str">
        <f t="shared" si="8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7"/>
        <v/>
      </c>
      <c r="J144" s="15" t="str">
        <f t="shared" si="8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7"/>
        <v/>
      </c>
      <c r="J145" s="15" t="str">
        <f t="shared" si="8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7"/>
        <v/>
      </c>
      <c r="J146" s="15" t="str">
        <f t="shared" si="8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7"/>
        <v/>
      </c>
      <c r="J147" s="15" t="str">
        <f t="shared" si="8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7"/>
        <v/>
      </c>
      <c r="J148" s="15" t="str">
        <f t="shared" si="8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7"/>
        <v/>
      </c>
      <c r="J149" s="15" t="str">
        <f t="shared" si="8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7"/>
        <v/>
      </c>
      <c r="J150" s="15" t="str">
        <f t="shared" si="8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7"/>
        <v/>
      </c>
      <c r="J151" s="15" t="str">
        <f t="shared" si="8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7"/>
        <v/>
      </c>
      <c r="J152" s="15" t="str">
        <f t="shared" si="8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7"/>
        <v/>
      </c>
      <c r="J153" s="15" t="str">
        <f t="shared" si="8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7"/>
        <v/>
      </c>
      <c r="J154" s="15" t="str">
        <f t="shared" si="8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7"/>
        <v/>
      </c>
      <c r="J155" s="15" t="str">
        <f t="shared" si="8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7"/>
        <v/>
      </c>
      <c r="J156" s="15" t="str">
        <f t="shared" si="8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7"/>
        <v/>
      </c>
      <c r="J157" s="15" t="str">
        <f t="shared" si="8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7"/>
        <v/>
      </c>
      <c r="J158" s="15" t="str">
        <f t="shared" si="8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7"/>
        <v/>
      </c>
      <c r="J159" s="15" t="str">
        <f t="shared" si="8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7"/>
        <v/>
      </c>
      <c r="J160" s="15" t="str">
        <f t="shared" si="8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7"/>
        <v/>
      </c>
      <c r="J161" s="15" t="str">
        <f t="shared" si="8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7"/>
        <v/>
      </c>
      <c r="J162" s="15" t="str">
        <f t="shared" si="8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7"/>
        <v/>
      </c>
      <c r="J163" s="15" t="str">
        <f t="shared" si="8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7"/>
        <v/>
      </c>
      <c r="J164" s="15" t="str">
        <f t="shared" si="8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7"/>
        <v/>
      </c>
      <c r="J165" s="15" t="str">
        <f t="shared" si="8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7"/>
        <v/>
      </c>
      <c r="J166" s="15" t="str">
        <f t="shared" si="8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7"/>
        <v/>
      </c>
      <c r="J167" s="15" t="str">
        <f t="shared" si="8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7"/>
        <v/>
      </c>
      <c r="J168" s="15" t="str">
        <f t="shared" si="8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7"/>
        <v/>
      </c>
      <c r="J169" s="15" t="str">
        <f t="shared" si="8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7"/>
        <v/>
      </c>
      <c r="J170" s="15" t="str">
        <f t="shared" si="8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7"/>
        <v/>
      </c>
      <c r="J171" s="15" t="str">
        <f t="shared" si="8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7"/>
        <v/>
      </c>
      <c r="J172" s="15" t="str">
        <f t="shared" si="8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7"/>
        <v/>
      </c>
      <c r="J173" s="15" t="str">
        <f t="shared" si="8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7"/>
        <v/>
      </c>
      <c r="J174" s="15" t="str">
        <f t="shared" si="8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7"/>
        <v/>
      </c>
      <c r="J175" s="15" t="str">
        <f t="shared" si="8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7"/>
        <v/>
      </c>
      <c r="J176" s="15" t="str">
        <f t="shared" si="8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7"/>
        <v/>
      </c>
      <c r="J177" s="15" t="str">
        <f t="shared" si="8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7"/>
        <v/>
      </c>
      <c r="J178" s="15" t="str">
        <f t="shared" si="8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7"/>
        <v/>
      </c>
      <c r="J179" s="15" t="str">
        <f t="shared" si="8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7"/>
        <v/>
      </c>
      <c r="J180" s="15" t="str">
        <f t="shared" si="8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7"/>
        <v/>
      </c>
      <c r="J181" s="15" t="str">
        <f t="shared" si="8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7"/>
        <v/>
      </c>
      <c r="J182" s="15" t="str">
        <f t="shared" si="8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7"/>
        <v/>
      </c>
      <c r="J183" s="15" t="str">
        <f t="shared" si="8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7"/>
        <v/>
      </c>
      <c r="J184" s="15" t="str">
        <f t="shared" si="8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7"/>
        <v/>
      </c>
      <c r="J185" s="15" t="str">
        <f t="shared" si="8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7"/>
        <v/>
      </c>
      <c r="J186" s="15" t="str">
        <f t="shared" si="8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7"/>
        <v/>
      </c>
      <c r="J187" s="15" t="str">
        <f t="shared" si="8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7"/>
        <v/>
      </c>
      <c r="J188" s="15" t="str">
        <f t="shared" si="8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7"/>
        <v/>
      </c>
      <c r="J189" s="15" t="str">
        <f t="shared" si="8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7"/>
        <v/>
      </c>
      <c r="J190" s="15" t="str">
        <f t="shared" si="8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7"/>
        <v/>
      </c>
      <c r="J191" s="15" t="str">
        <f t="shared" si="8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7"/>
        <v/>
      </c>
      <c r="J192" s="15" t="str">
        <f t="shared" si="8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7"/>
        <v/>
      </c>
      <c r="J193" s="15" t="str">
        <f t="shared" si="8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7"/>
        <v/>
      </c>
      <c r="J194" s="15" t="str">
        <f t="shared" si="8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7"/>
        <v/>
      </c>
      <c r="J195" s="15" t="str">
        <f t="shared" si="8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7"/>
        <v/>
      </c>
      <c r="J196" s="15" t="str">
        <f t="shared" si="8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7"/>
        <v/>
      </c>
      <c r="J197" s="15" t="str">
        <f t="shared" si="8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7"/>
        <v/>
      </c>
      <c r="J198" s="15" t="str">
        <f t="shared" si="8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7"/>
        <v/>
      </c>
      <c r="J199" s="15" t="str">
        <f t="shared" si="8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7"/>
        <v/>
      </c>
      <c r="J200" s="15" t="str">
        <f t="shared" si="8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7"/>
        <v/>
      </c>
      <c r="J201" s="15" t="str">
        <f t="shared" si="8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7"/>
        <v/>
      </c>
      <c r="J202" s="15" t="str">
        <f t="shared" si="8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7"/>
        <v/>
      </c>
      <c r="J203" s="15" t="str">
        <f t="shared" si="8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7"/>
        <v/>
      </c>
      <c r="J204" s="15" t="str">
        <f t="shared" si="8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7"/>
        <v/>
      </c>
      <c r="J205" s="15" t="str">
        <f t="shared" si="8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ref="I206:I269" si="9">IF(SUM(B206:F206,H206)=0,"",SUM(B206:F206,H206))</f>
        <v/>
      </c>
      <c r="J206" s="15" t="str">
        <f t="shared" ref="J206:J269" si="10">IF(I206="","",1440-I206)</f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9"/>
        <v/>
      </c>
      <c r="J207" s="15" t="str">
        <f t="shared" si="10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9"/>
        <v/>
      </c>
      <c r="J208" s="15" t="str">
        <f t="shared" si="10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9"/>
        <v/>
      </c>
      <c r="J209" s="15" t="str">
        <f t="shared" si="10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9"/>
        <v/>
      </c>
      <c r="J210" s="15" t="str">
        <f t="shared" si="10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9"/>
        <v/>
      </c>
      <c r="J211" s="15" t="str">
        <f t="shared" si="10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9"/>
        <v/>
      </c>
      <c r="J212" s="15" t="str">
        <f t="shared" si="10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9"/>
        <v/>
      </c>
      <c r="J213" s="15" t="str">
        <f t="shared" si="10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9"/>
        <v/>
      </c>
      <c r="J214" s="15" t="str">
        <f t="shared" si="10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9"/>
        <v/>
      </c>
      <c r="J215" s="15" t="str">
        <f t="shared" si="10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9"/>
        <v/>
      </c>
      <c r="J216" s="15" t="str">
        <f t="shared" si="10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9"/>
        <v/>
      </c>
      <c r="J217" s="15" t="str">
        <f t="shared" si="10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9"/>
        <v/>
      </c>
      <c r="J218" s="15" t="str">
        <f t="shared" si="10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9"/>
        <v/>
      </c>
      <c r="J219" s="15" t="str">
        <f t="shared" si="10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9"/>
        <v/>
      </c>
      <c r="J220" s="15" t="str">
        <f t="shared" si="10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9"/>
        <v/>
      </c>
      <c r="J221" s="15" t="str">
        <f t="shared" si="10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9"/>
        <v/>
      </c>
      <c r="J222" s="15" t="str">
        <f t="shared" si="10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9"/>
        <v/>
      </c>
      <c r="J223" s="15" t="str">
        <f t="shared" si="10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9"/>
        <v/>
      </c>
      <c r="J224" s="15" t="str">
        <f t="shared" si="10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9"/>
        <v/>
      </c>
      <c r="J225" s="15" t="str">
        <f t="shared" si="10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9"/>
        <v/>
      </c>
      <c r="J226" s="15" t="str">
        <f t="shared" si="10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9"/>
        <v/>
      </c>
      <c r="J227" s="15" t="str">
        <f t="shared" si="10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9"/>
        <v/>
      </c>
      <c r="J228" s="15" t="str">
        <f t="shared" si="10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9"/>
        <v/>
      </c>
      <c r="J229" s="15" t="str">
        <f t="shared" si="10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9"/>
        <v/>
      </c>
      <c r="J230" s="15" t="str">
        <f t="shared" si="10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9"/>
        <v/>
      </c>
      <c r="J231" s="15" t="str">
        <f t="shared" si="10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9"/>
        <v/>
      </c>
      <c r="J232" s="15" t="str">
        <f t="shared" si="10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9"/>
        <v/>
      </c>
      <c r="J233" s="15" t="str">
        <f t="shared" si="10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9"/>
        <v/>
      </c>
      <c r="J234" s="15" t="str">
        <f t="shared" si="10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9"/>
        <v/>
      </c>
      <c r="J235" s="15" t="str">
        <f t="shared" si="10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9"/>
        <v/>
      </c>
      <c r="J236" s="15" t="str">
        <f t="shared" si="10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9"/>
        <v/>
      </c>
      <c r="J237" s="15" t="str">
        <f t="shared" si="10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9"/>
        <v/>
      </c>
      <c r="J238" s="15" t="str">
        <f t="shared" si="10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9"/>
        <v/>
      </c>
      <c r="J239" s="15" t="str">
        <f t="shared" si="10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9"/>
        <v/>
      </c>
      <c r="J240" s="15" t="str">
        <f t="shared" si="10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9"/>
        <v/>
      </c>
      <c r="J241" s="15" t="str">
        <f t="shared" si="10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9"/>
        <v/>
      </c>
      <c r="J242" s="15" t="str">
        <f t="shared" si="10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9"/>
        <v/>
      </c>
      <c r="J243" s="15" t="str">
        <f t="shared" si="10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9"/>
        <v/>
      </c>
      <c r="J244" s="15" t="str">
        <f t="shared" si="10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9"/>
        <v/>
      </c>
      <c r="J245" s="15" t="str">
        <f t="shared" si="10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9"/>
        <v/>
      </c>
      <c r="J246" s="15" t="str">
        <f t="shared" si="10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9"/>
        <v/>
      </c>
      <c r="J247" s="15" t="str">
        <f t="shared" si="10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9"/>
        <v/>
      </c>
      <c r="J248" s="15" t="str">
        <f t="shared" si="10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9"/>
        <v/>
      </c>
      <c r="J249" s="15" t="str">
        <f t="shared" si="10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9"/>
        <v/>
      </c>
      <c r="J250" s="15" t="str">
        <f t="shared" si="10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9"/>
        <v/>
      </c>
      <c r="J251" s="15" t="str">
        <f t="shared" si="10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9"/>
        <v/>
      </c>
      <c r="J252" s="15" t="str">
        <f t="shared" si="10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9"/>
        <v/>
      </c>
      <c r="J253" s="15" t="str">
        <f t="shared" si="10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9"/>
        <v/>
      </c>
      <c r="J254" s="15" t="str">
        <f t="shared" si="10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9"/>
        <v/>
      </c>
      <c r="J255" s="15" t="str">
        <f t="shared" si="10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9"/>
        <v/>
      </c>
      <c r="J256" s="15" t="str">
        <f t="shared" si="10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9"/>
        <v/>
      </c>
      <c r="J257" s="15" t="str">
        <f t="shared" si="10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9"/>
        <v/>
      </c>
      <c r="J258" s="15" t="str">
        <f t="shared" si="10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9"/>
        <v/>
      </c>
      <c r="J259" s="15" t="str">
        <f t="shared" si="10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9"/>
        <v/>
      </c>
      <c r="J260" s="15" t="str">
        <f t="shared" si="10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9"/>
        <v/>
      </c>
      <c r="J261" s="15" t="str">
        <f t="shared" si="10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9"/>
        <v/>
      </c>
      <c r="J262" s="15" t="str">
        <f t="shared" si="10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9"/>
        <v/>
      </c>
      <c r="J263" s="15" t="str">
        <f t="shared" si="10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9"/>
        <v/>
      </c>
      <c r="J264" s="15" t="str">
        <f t="shared" si="10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9"/>
        <v/>
      </c>
      <c r="J265" s="15" t="str">
        <f t="shared" si="10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9"/>
        <v/>
      </c>
      <c r="J266" s="15" t="str">
        <f t="shared" si="10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9"/>
        <v/>
      </c>
      <c r="J267" s="15" t="str">
        <f t="shared" si="10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9"/>
        <v/>
      </c>
      <c r="J268" s="15" t="str">
        <f t="shared" si="10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9"/>
        <v/>
      </c>
      <c r="J269" s="15" t="str">
        <f t="shared" si="10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ref="I270:I333" si="11">IF(SUM(B270:F270,H270)=0,"",SUM(B270:F270,H270))</f>
        <v/>
      </c>
      <c r="J270" s="15" t="str">
        <f t="shared" ref="J270:J333" si="12">IF(I270="","",1440-I270)</f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1"/>
        <v/>
      </c>
      <c r="J271" s="15" t="str">
        <f t="shared" si="12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1"/>
        <v/>
      </c>
      <c r="J272" s="15" t="str">
        <f t="shared" si="12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1"/>
        <v/>
      </c>
      <c r="J273" s="15" t="str">
        <f t="shared" si="12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1"/>
        <v/>
      </c>
      <c r="J274" s="15" t="str">
        <f t="shared" si="12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1"/>
        <v/>
      </c>
      <c r="J275" s="15" t="str">
        <f t="shared" si="12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1"/>
        <v/>
      </c>
      <c r="J276" s="15" t="str">
        <f t="shared" si="12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1"/>
        <v/>
      </c>
      <c r="J277" s="15" t="str">
        <f t="shared" si="12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1"/>
        <v/>
      </c>
      <c r="J278" s="15" t="str">
        <f t="shared" si="12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1"/>
        <v/>
      </c>
      <c r="J279" s="15" t="str">
        <f t="shared" si="12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1"/>
        <v/>
      </c>
      <c r="J280" s="15" t="str">
        <f t="shared" si="12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1"/>
        <v/>
      </c>
      <c r="J281" s="15" t="str">
        <f t="shared" si="12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1"/>
        <v/>
      </c>
      <c r="J282" s="15" t="str">
        <f t="shared" si="12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1"/>
        <v/>
      </c>
      <c r="J283" s="15" t="str">
        <f t="shared" si="12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1"/>
        <v/>
      </c>
      <c r="J284" s="15" t="str">
        <f t="shared" si="12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1"/>
        <v/>
      </c>
      <c r="J285" s="15" t="str">
        <f t="shared" si="12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1"/>
        <v/>
      </c>
      <c r="J286" s="15" t="str">
        <f t="shared" si="12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1"/>
        <v/>
      </c>
      <c r="J287" s="15" t="str">
        <f t="shared" si="12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1"/>
        <v/>
      </c>
      <c r="J288" s="15" t="str">
        <f t="shared" si="12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1"/>
        <v/>
      </c>
      <c r="J289" s="15" t="str">
        <f t="shared" si="12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1"/>
        <v/>
      </c>
      <c r="J290" s="15" t="str">
        <f t="shared" si="12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1"/>
        <v/>
      </c>
      <c r="J291" s="15" t="str">
        <f t="shared" si="12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1"/>
        <v/>
      </c>
      <c r="J292" s="15" t="str">
        <f t="shared" si="12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1"/>
        <v/>
      </c>
      <c r="J293" s="15" t="str">
        <f t="shared" si="12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1"/>
        <v/>
      </c>
      <c r="J294" s="15" t="str">
        <f t="shared" si="12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1"/>
        <v/>
      </c>
      <c r="J295" s="15" t="str">
        <f t="shared" si="12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1"/>
        <v/>
      </c>
      <c r="J296" s="15" t="str">
        <f t="shared" si="12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1"/>
        <v/>
      </c>
      <c r="J297" s="15" t="str">
        <f t="shared" si="12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1"/>
        <v/>
      </c>
      <c r="J298" s="15" t="str">
        <f t="shared" si="12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1"/>
        <v/>
      </c>
      <c r="J299" s="15" t="str">
        <f t="shared" si="12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1"/>
        <v/>
      </c>
      <c r="J300" s="15" t="str">
        <f t="shared" si="12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1"/>
        <v/>
      </c>
      <c r="J301" s="15" t="str">
        <f t="shared" si="12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1"/>
        <v/>
      </c>
      <c r="J302" s="15" t="str">
        <f t="shared" si="12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1"/>
        <v/>
      </c>
      <c r="J303" s="15" t="str">
        <f t="shared" si="12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1"/>
        <v/>
      </c>
      <c r="J304" s="15" t="str">
        <f t="shared" si="12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1"/>
        <v/>
      </c>
      <c r="J305" s="15" t="str">
        <f t="shared" si="12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1"/>
        <v/>
      </c>
      <c r="J306" s="15" t="str">
        <f t="shared" si="12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1"/>
        <v/>
      </c>
      <c r="J307" s="15" t="str">
        <f t="shared" si="12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1"/>
        <v/>
      </c>
      <c r="J308" s="15" t="str">
        <f t="shared" si="12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1"/>
        <v/>
      </c>
      <c r="J309" s="15" t="str">
        <f t="shared" si="12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1"/>
        <v/>
      </c>
      <c r="J310" s="15" t="str">
        <f t="shared" si="12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1"/>
        <v/>
      </c>
      <c r="J311" s="15" t="str">
        <f t="shared" si="12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1"/>
        <v/>
      </c>
      <c r="J312" s="15" t="str">
        <f t="shared" si="12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1"/>
        <v/>
      </c>
      <c r="J313" s="15" t="str">
        <f t="shared" si="12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1"/>
        <v/>
      </c>
      <c r="J314" s="15" t="str">
        <f t="shared" si="12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1"/>
        <v/>
      </c>
      <c r="J315" s="15" t="str">
        <f t="shared" si="12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1"/>
        <v/>
      </c>
      <c r="J316" s="15" t="str">
        <f t="shared" si="12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1"/>
        <v/>
      </c>
      <c r="J317" s="15" t="str">
        <f t="shared" si="12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1"/>
        <v/>
      </c>
      <c r="J318" s="15" t="str">
        <f t="shared" si="12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1"/>
        <v/>
      </c>
      <c r="J319" s="15" t="str">
        <f t="shared" si="12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1"/>
        <v/>
      </c>
      <c r="J320" s="15" t="str">
        <f t="shared" si="12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1"/>
        <v/>
      </c>
      <c r="J321" s="15" t="str">
        <f t="shared" si="12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1"/>
        <v/>
      </c>
      <c r="J322" s="15" t="str">
        <f t="shared" si="12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1"/>
        <v/>
      </c>
      <c r="J323" s="15" t="str">
        <f t="shared" si="12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1"/>
        <v/>
      </c>
      <c r="J324" s="15" t="str">
        <f t="shared" si="12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1"/>
        <v/>
      </c>
      <c r="J325" s="15" t="str">
        <f t="shared" si="12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1"/>
        <v/>
      </c>
      <c r="J326" s="15" t="str">
        <f t="shared" si="12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1"/>
        <v/>
      </c>
      <c r="J327" s="15" t="str">
        <f t="shared" si="12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1"/>
        <v/>
      </c>
      <c r="J328" s="15" t="str">
        <f t="shared" si="12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1"/>
        <v/>
      </c>
      <c r="J329" s="15" t="str">
        <f t="shared" si="12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1"/>
        <v/>
      </c>
      <c r="J330" s="15" t="str">
        <f t="shared" si="12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1"/>
        <v/>
      </c>
      <c r="J331" s="15" t="str">
        <f t="shared" si="12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1"/>
        <v/>
      </c>
      <c r="J332" s="15" t="str">
        <f t="shared" si="12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1"/>
        <v/>
      </c>
      <c r="J333" s="15" t="str">
        <f t="shared" si="12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ref="I334:I397" si="13">IF(SUM(B334:F334,H334)=0,"",SUM(B334:F334,H334))</f>
        <v/>
      </c>
      <c r="J334" s="15" t="str">
        <f t="shared" ref="J334:J397" si="14">IF(I334="","",1440-I334)</f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3"/>
        <v/>
      </c>
      <c r="J335" s="15" t="str">
        <f t="shared" si="14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3"/>
        <v/>
      </c>
      <c r="J336" s="15" t="str">
        <f t="shared" si="14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3"/>
        <v/>
      </c>
      <c r="J337" s="15" t="str">
        <f t="shared" si="14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3"/>
        <v/>
      </c>
      <c r="J338" s="15" t="str">
        <f t="shared" si="14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3"/>
        <v/>
      </c>
      <c r="J339" s="15" t="str">
        <f t="shared" si="14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3"/>
        <v/>
      </c>
      <c r="J340" s="15" t="str">
        <f t="shared" si="14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3"/>
        <v/>
      </c>
      <c r="J341" s="15" t="str">
        <f t="shared" si="14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3"/>
        <v/>
      </c>
      <c r="J342" s="15" t="str">
        <f t="shared" si="14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3"/>
        <v/>
      </c>
      <c r="J343" s="15" t="str">
        <f t="shared" si="14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3"/>
        <v/>
      </c>
      <c r="J344" s="15" t="str">
        <f t="shared" si="14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3"/>
        <v/>
      </c>
      <c r="J345" s="15" t="str">
        <f t="shared" si="14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3"/>
        <v/>
      </c>
      <c r="J346" s="15" t="str">
        <f t="shared" si="14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3"/>
        <v/>
      </c>
      <c r="J347" s="15" t="str">
        <f t="shared" si="14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3"/>
        <v/>
      </c>
      <c r="J348" s="15" t="str">
        <f t="shared" si="14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3"/>
        <v/>
      </c>
      <c r="J349" s="15" t="str">
        <f t="shared" si="14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3"/>
        <v/>
      </c>
      <c r="J350" s="15" t="str">
        <f t="shared" si="14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3"/>
        <v/>
      </c>
      <c r="J351" s="15" t="str">
        <f t="shared" si="14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3"/>
        <v/>
      </c>
      <c r="J352" s="15" t="str">
        <f t="shared" si="14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3"/>
        <v/>
      </c>
      <c r="J353" s="15" t="str">
        <f t="shared" si="14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3"/>
        <v/>
      </c>
      <c r="J354" s="15" t="str">
        <f t="shared" si="14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3"/>
        <v/>
      </c>
      <c r="J355" s="15" t="str">
        <f t="shared" si="14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3"/>
        <v/>
      </c>
      <c r="J356" s="15" t="str">
        <f t="shared" si="14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3"/>
        <v/>
      </c>
      <c r="J357" s="15" t="str">
        <f t="shared" si="14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3"/>
        <v/>
      </c>
      <c r="J358" s="15" t="str">
        <f t="shared" si="14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3"/>
        <v/>
      </c>
      <c r="J359" s="15" t="str">
        <f t="shared" si="14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3"/>
        <v/>
      </c>
      <c r="J360" s="15" t="str">
        <f t="shared" si="14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3"/>
        <v/>
      </c>
      <c r="J361" s="15" t="str">
        <f t="shared" si="14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3"/>
        <v/>
      </c>
      <c r="J362" s="15" t="str">
        <f t="shared" si="14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3"/>
        <v/>
      </c>
      <c r="J363" s="15" t="str">
        <f t="shared" si="14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3"/>
        <v/>
      </c>
      <c r="J364" s="15" t="str">
        <f t="shared" si="14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3"/>
        <v/>
      </c>
      <c r="J365" s="15" t="str">
        <f t="shared" si="14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3"/>
        <v/>
      </c>
      <c r="J366" s="15" t="str">
        <f t="shared" si="14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3"/>
        <v/>
      </c>
      <c r="J367" s="15" t="str">
        <f t="shared" si="14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3"/>
        <v/>
      </c>
      <c r="J368" s="15" t="str">
        <f t="shared" si="14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3"/>
        <v/>
      </c>
      <c r="J369" s="15" t="str">
        <f t="shared" si="14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3"/>
        <v/>
      </c>
      <c r="J370" s="15" t="str">
        <f t="shared" si="14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3"/>
        <v/>
      </c>
      <c r="J371" s="15" t="str">
        <f t="shared" si="14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3"/>
        <v/>
      </c>
      <c r="J372" s="15" t="str">
        <f t="shared" si="14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3"/>
        <v/>
      </c>
      <c r="J373" s="15" t="str">
        <f t="shared" si="14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3"/>
        <v/>
      </c>
      <c r="J374" s="15" t="str">
        <f t="shared" si="14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3"/>
        <v/>
      </c>
      <c r="J375" s="15" t="str">
        <f t="shared" si="14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3"/>
        <v/>
      </c>
      <c r="J376" s="15" t="str">
        <f t="shared" si="14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3"/>
        <v/>
      </c>
      <c r="J377" s="15" t="str">
        <f t="shared" si="14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3"/>
        <v/>
      </c>
      <c r="J378" s="15" t="str">
        <f t="shared" si="14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3"/>
        <v/>
      </c>
      <c r="J379" s="15" t="str">
        <f t="shared" si="14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3"/>
        <v/>
      </c>
      <c r="J380" s="15" t="str">
        <f t="shared" si="14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3"/>
        <v/>
      </c>
      <c r="J381" s="15" t="str">
        <f t="shared" si="14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3"/>
        <v/>
      </c>
      <c r="J382" s="15" t="str">
        <f t="shared" si="14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3"/>
        <v/>
      </c>
      <c r="J383" s="15" t="str">
        <f t="shared" si="14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3"/>
        <v/>
      </c>
      <c r="J384" s="15" t="str">
        <f t="shared" si="14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3"/>
        <v/>
      </c>
      <c r="J385" s="15" t="str">
        <f t="shared" si="14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3"/>
        <v/>
      </c>
      <c r="J386" s="15" t="str">
        <f t="shared" si="14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3"/>
        <v/>
      </c>
      <c r="J387" s="15" t="str">
        <f t="shared" si="14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3"/>
        <v/>
      </c>
      <c r="J388" s="15" t="str">
        <f t="shared" si="14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3"/>
        <v/>
      </c>
      <c r="J389" s="15" t="str">
        <f t="shared" si="14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3"/>
        <v/>
      </c>
      <c r="J390" s="15" t="str">
        <f t="shared" si="14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3"/>
        <v/>
      </c>
      <c r="J391" s="15" t="str">
        <f t="shared" si="14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3"/>
        <v/>
      </c>
      <c r="J392" s="15" t="str">
        <f t="shared" si="14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3"/>
        <v/>
      </c>
      <c r="J393" s="15" t="str">
        <f t="shared" si="14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3"/>
        <v/>
      </c>
      <c r="J394" s="15" t="str">
        <f t="shared" si="14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3"/>
        <v/>
      </c>
      <c r="J395" s="15" t="str">
        <f t="shared" si="14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3"/>
        <v/>
      </c>
      <c r="J396" s="15" t="str">
        <f t="shared" si="14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3"/>
        <v/>
      </c>
      <c r="J397" s="15" t="str">
        <f t="shared" si="14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ref="I398:I409" si="15">IF(SUM(B398:F398,H398)=0,"",SUM(B398:F398,H398))</f>
        <v/>
      </c>
      <c r="J398" s="15" t="str">
        <f t="shared" ref="J398:J409" si="16">IF(I398="","",1440-I398)</f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5"/>
        <v/>
      </c>
      <c r="J399" s="15" t="str">
        <f t="shared" si="16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5"/>
        <v/>
      </c>
      <c r="J400" s="15" t="str">
        <f t="shared" si="16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5"/>
        <v/>
      </c>
      <c r="J401" s="15" t="str">
        <f t="shared" si="16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5"/>
        <v/>
      </c>
      <c r="J402" s="15" t="str">
        <f t="shared" si="16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5"/>
        <v/>
      </c>
      <c r="J403" s="15" t="str">
        <f t="shared" si="16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5"/>
        <v/>
      </c>
      <c r="J404" s="15" t="str">
        <f t="shared" si="16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5"/>
        <v/>
      </c>
      <c r="J405" s="15" t="str">
        <f t="shared" si="16"/>
        <v/>
      </c>
      <c r="K405" s="16"/>
      <c r="L405" s="16"/>
      <c r="M405" s="16"/>
      <c r="N405" s="17"/>
    </row>
    <row r="406" spans="1:14" x14ac:dyDescent="0.3">
      <c r="A406" s="13"/>
      <c r="B406" s="14"/>
      <c r="C406" s="14"/>
      <c r="D406" s="14"/>
      <c r="E406" s="14"/>
      <c r="F406" s="14"/>
      <c r="G406" s="14"/>
      <c r="H406" s="14"/>
      <c r="I406" s="15" t="str">
        <f t="shared" si="15"/>
        <v/>
      </c>
      <c r="J406" s="15" t="str">
        <f t="shared" si="16"/>
        <v/>
      </c>
      <c r="K406" s="16"/>
      <c r="L406" s="16"/>
      <c r="M406" s="16"/>
      <c r="N406" s="17"/>
    </row>
    <row r="407" spans="1:14" x14ac:dyDescent="0.3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5"/>
        <v/>
      </c>
      <c r="J407" s="15" t="str">
        <f t="shared" si="16"/>
        <v/>
      </c>
      <c r="K407" s="16"/>
      <c r="L407" s="16"/>
      <c r="M407" s="16"/>
      <c r="N407" s="17"/>
    </row>
    <row r="408" spans="1:14" x14ac:dyDescent="0.3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5"/>
        <v/>
      </c>
      <c r="J408" s="15" t="str">
        <f t="shared" si="16"/>
        <v/>
      </c>
      <c r="K408" s="16"/>
      <c r="L408" s="16"/>
      <c r="M408" s="16"/>
      <c r="N408" s="17"/>
    </row>
    <row r="409" spans="1:14" x14ac:dyDescent="0.3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5"/>
        <v/>
      </c>
      <c r="J409" s="15" t="str">
        <f t="shared" si="16"/>
        <v/>
      </c>
      <c r="K409" s="16"/>
      <c r="L409" s="16"/>
      <c r="M409" s="16"/>
      <c r="N409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9">
    <cfRule type="cellIs" dxfId="1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9" xr:uid="{00000000-0002-0000-0100-000000000000}">
      <formula1>"Excellent,Good,Neutral,Low,Stressed"</formula1>
      <formula2>0</formula2>
    </dataValidation>
    <dataValidation type="list" allowBlank="1" prompt="Select today's satisfaction level" sqref="L6:L409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9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B7EC-0174-4359-BD5B-F6835DFDCF4B}">
  <dimension ref="A1:N52"/>
  <sheetViews>
    <sheetView topLeftCell="A29" zoomScale="94" workbookViewId="0">
      <selection activeCell="I49" sqref="I49"/>
    </sheetView>
  </sheetViews>
  <sheetFormatPr defaultRowHeight="14.4" x14ac:dyDescent="0.3"/>
  <cols>
    <col min="1" max="13" width="10.77734375" customWidth="1"/>
    <col min="14" max="14" width="73.6640625" bestFit="1" customWidth="1"/>
  </cols>
  <sheetData>
    <row r="1" spans="1:14" ht="41.4" x14ac:dyDescent="0.3">
      <c r="A1" s="18" t="s">
        <v>35</v>
      </c>
      <c r="B1" s="19" t="s">
        <v>36</v>
      </c>
      <c r="C1" s="19" t="s">
        <v>37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42</v>
      </c>
      <c r="I1" s="19" t="s">
        <v>43</v>
      </c>
      <c r="J1" s="19" t="s">
        <v>44</v>
      </c>
      <c r="K1" s="19" t="s">
        <v>45</v>
      </c>
      <c r="L1" s="19" t="s">
        <v>46</v>
      </c>
      <c r="M1" s="19" t="s">
        <v>47</v>
      </c>
      <c r="N1" s="20" t="s">
        <v>48</v>
      </c>
    </row>
    <row r="2" spans="1:14" ht="18" customHeight="1" x14ac:dyDescent="0.3">
      <c r="A2" s="13">
        <v>46251</v>
      </c>
      <c r="B2" s="14">
        <v>480</v>
      </c>
      <c r="C2" s="14">
        <v>30</v>
      </c>
      <c r="D2" s="14">
        <v>100</v>
      </c>
      <c r="E2" s="14">
        <v>60</v>
      </c>
      <c r="F2" s="14">
        <v>420</v>
      </c>
      <c r="G2" s="14">
        <v>6</v>
      </c>
      <c r="H2" s="14">
        <v>45</v>
      </c>
      <c r="I2" s="15">
        <f>IF(SUM(B2:F2,H2)=0,"",SUM(B2:F2,H2))</f>
        <v>1135</v>
      </c>
      <c r="J2" s="15">
        <f t="shared" ref="J2:J37" si="0">IF(I2="","",1440-I2)</f>
        <v>305</v>
      </c>
      <c r="K2" s="16" t="s">
        <v>57</v>
      </c>
      <c r="L2" s="16" t="s">
        <v>50</v>
      </c>
      <c r="M2" s="16" t="s">
        <v>51</v>
      </c>
      <c r="N2" s="17" t="s">
        <v>58</v>
      </c>
    </row>
    <row r="3" spans="1:14" ht="18" customHeight="1" x14ac:dyDescent="0.3">
      <c r="A3" s="13">
        <v>46252</v>
      </c>
      <c r="B3" s="14">
        <v>430</v>
      </c>
      <c r="C3" s="14">
        <v>30</v>
      </c>
      <c r="D3" s="14">
        <v>90</v>
      </c>
      <c r="E3" s="14">
        <v>50</v>
      </c>
      <c r="F3" s="14">
        <v>480</v>
      </c>
      <c r="G3" s="14">
        <v>7</v>
      </c>
      <c r="H3" s="14">
        <v>40</v>
      </c>
      <c r="I3" s="15">
        <f t="shared" ref="I3:I8" si="1">IF(SUM(B3:F3,H3)=0,"",SUM(B3:F3,H3))</f>
        <v>1120</v>
      </c>
      <c r="J3" s="15">
        <f t="shared" si="0"/>
        <v>320</v>
      </c>
      <c r="K3" s="16" t="s">
        <v>57</v>
      </c>
      <c r="L3" s="16" t="s">
        <v>50</v>
      </c>
      <c r="M3" s="16" t="s">
        <v>51</v>
      </c>
      <c r="N3" s="17" t="s">
        <v>62</v>
      </c>
    </row>
    <row r="4" spans="1:14" ht="18" customHeight="1" x14ac:dyDescent="0.3">
      <c r="A4" s="13">
        <v>46253</v>
      </c>
      <c r="B4" s="14">
        <v>450</v>
      </c>
      <c r="C4" s="14">
        <v>20</v>
      </c>
      <c r="D4" s="14">
        <v>70</v>
      </c>
      <c r="E4" s="14">
        <v>60</v>
      </c>
      <c r="F4" s="14">
        <v>380</v>
      </c>
      <c r="G4" s="14">
        <v>5</v>
      </c>
      <c r="H4" s="14">
        <v>60</v>
      </c>
      <c r="I4" s="15">
        <f t="shared" si="1"/>
        <v>1040</v>
      </c>
      <c r="J4" s="15">
        <f t="shared" si="0"/>
        <v>400</v>
      </c>
      <c r="K4" s="16" t="s">
        <v>57</v>
      </c>
      <c r="L4" s="16" t="s">
        <v>50</v>
      </c>
      <c r="M4" s="16" t="s">
        <v>51</v>
      </c>
      <c r="N4" s="17" t="s">
        <v>62</v>
      </c>
    </row>
    <row r="5" spans="1:14" ht="18" customHeight="1" x14ac:dyDescent="0.3">
      <c r="A5" s="13">
        <v>46254</v>
      </c>
      <c r="B5" s="14">
        <v>410</v>
      </c>
      <c r="C5" s="14">
        <v>25</v>
      </c>
      <c r="D5" s="14">
        <v>60</v>
      </c>
      <c r="E5" s="14">
        <v>60</v>
      </c>
      <c r="F5" s="14">
        <v>330</v>
      </c>
      <c r="G5" s="14">
        <v>4</v>
      </c>
      <c r="H5" s="14">
        <v>50</v>
      </c>
      <c r="I5" s="15">
        <f t="shared" si="1"/>
        <v>935</v>
      </c>
      <c r="J5" s="15">
        <f t="shared" si="0"/>
        <v>505</v>
      </c>
      <c r="K5" s="16" t="s">
        <v>57</v>
      </c>
      <c r="L5" s="16" t="s">
        <v>50</v>
      </c>
      <c r="M5" s="16" t="s">
        <v>51</v>
      </c>
      <c r="N5" s="17" t="s">
        <v>60</v>
      </c>
    </row>
    <row r="6" spans="1:14" ht="18" customHeight="1" x14ac:dyDescent="0.3">
      <c r="A6" s="13">
        <v>46255</v>
      </c>
      <c r="B6" s="14">
        <v>420</v>
      </c>
      <c r="C6" s="14">
        <v>20</v>
      </c>
      <c r="D6" s="14">
        <v>70</v>
      </c>
      <c r="E6" s="14">
        <v>60</v>
      </c>
      <c r="F6" s="14">
        <v>350</v>
      </c>
      <c r="G6" s="14">
        <v>5</v>
      </c>
      <c r="H6" s="14">
        <v>70</v>
      </c>
      <c r="I6" s="15">
        <f t="shared" si="1"/>
        <v>990</v>
      </c>
      <c r="J6" s="15">
        <f t="shared" si="0"/>
        <v>450</v>
      </c>
      <c r="K6" s="16" t="s">
        <v>57</v>
      </c>
      <c r="L6" s="16" t="s">
        <v>50</v>
      </c>
      <c r="M6" s="16" t="s">
        <v>51</v>
      </c>
      <c r="N6" s="17" t="s">
        <v>69</v>
      </c>
    </row>
    <row r="7" spans="1:14" ht="18" customHeight="1" x14ac:dyDescent="0.3">
      <c r="A7" s="13">
        <v>46256</v>
      </c>
      <c r="B7" s="14">
        <v>500</v>
      </c>
      <c r="C7" s="14">
        <v>25</v>
      </c>
      <c r="D7" s="14">
        <v>90</v>
      </c>
      <c r="E7" s="14">
        <v>100</v>
      </c>
      <c r="F7" s="14">
        <v>0</v>
      </c>
      <c r="G7" s="14">
        <v>0</v>
      </c>
      <c r="H7" s="14">
        <v>66</v>
      </c>
      <c r="I7" s="15">
        <f t="shared" si="1"/>
        <v>781</v>
      </c>
      <c r="J7" s="15">
        <f t="shared" si="0"/>
        <v>659</v>
      </c>
      <c r="K7" s="16" t="s">
        <v>57</v>
      </c>
      <c r="L7" s="16" t="s">
        <v>50</v>
      </c>
      <c r="M7" s="16" t="s">
        <v>51</v>
      </c>
      <c r="N7" s="17" t="s">
        <v>69</v>
      </c>
    </row>
    <row r="8" spans="1:14" ht="18" customHeight="1" x14ac:dyDescent="0.3">
      <c r="A8" s="13">
        <v>46257</v>
      </c>
      <c r="B8" s="14">
        <v>420</v>
      </c>
      <c r="C8" s="14">
        <v>25</v>
      </c>
      <c r="D8" s="14">
        <v>70</v>
      </c>
      <c r="E8" s="14">
        <v>90</v>
      </c>
      <c r="F8" s="14">
        <v>0</v>
      </c>
      <c r="G8" s="14">
        <v>0</v>
      </c>
      <c r="H8" s="14">
        <v>60</v>
      </c>
      <c r="I8" s="15">
        <f t="shared" si="1"/>
        <v>665</v>
      </c>
      <c r="J8" s="15">
        <f t="shared" si="0"/>
        <v>775</v>
      </c>
      <c r="K8" s="16" t="s">
        <v>57</v>
      </c>
      <c r="L8" s="16" t="s">
        <v>50</v>
      </c>
      <c r="M8" s="16" t="s">
        <v>51</v>
      </c>
      <c r="N8" s="17" t="s">
        <v>60</v>
      </c>
    </row>
    <row r="9" spans="1:14" ht="18" customHeight="1" x14ac:dyDescent="0.3">
      <c r="A9" s="13">
        <v>46258</v>
      </c>
      <c r="B9" s="14">
        <v>450</v>
      </c>
      <c r="C9" s="14">
        <v>30</v>
      </c>
      <c r="D9" s="14">
        <v>60</v>
      </c>
      <c r="E9" s="14">
        <v>60</v>
      </c>
      <c r="F9" s="14">
        <v>420</v>
      </c>
      <c r="G9" s="14">
        <v>6</v>
      </c>
      <c r="H9" s="14">
        <v>33</v>
      </c>
      <c r="I9" s="15">
        <f>IF(SUM(B9:F9,H9)=0,"",SUM(B9:F9,H9))</f>
        <v>1053</v>
      </c>
      <c r="J9" s="15">
        <f t="shared" si="0"/>
        <v>387</v>
      </c>
      <c r="K9" s="16" t="s">
        <v>57</v>
      </c>
      <c r="L9" s="16" t="s">
        <v>50</v>
      </c>
      <c r="M9" s="16" t="s">
        <v>51</v>
      </c>
      <c r="N9" s="17" t="s">
        <v>60</v>
      </c>
    </row>
    <row r="10" spans="1:14" ht="18" customHeight="1" x14ac:dyDescent="0.3">
      <c r="A10" s="13">
        <v>46259</v>
      </c>
      <c r="B10" s="14">
        <v>480</v>
      </c>
      <c r="C10" s="14">
        <v>30</v>
      </c>
      <c r="D10" s="14">
        <v>100</v>
      </c>
      <c r="E10" s="14">
        <v>60</v>
      </c>
      <c r="F10" s="14">
        <v>480</v>
      </c>
      <c r="G10" s="14">
        <v>7</v>
      </c>
      <c r="H10" s="14">
        <v>45</v>
      </c>
      <c r="I10" s="15">
        <f t="shared" ref="I10:I37" si="2">IF(SUM(B10:F10,H10)=0,"",SUM(B10:F10,H10))</f>
        <v>1195</v>
      </c>
      <c r="J10" s="15">
        <f t="shared" si="0"/>
        <v>245</v>
      </c>
      <c r="K10" s="16" t="s">
        <v>57</v>
      </c>
      <c r="L10" s="16" t="s">
        <v>50</v>
      </c>
      <c r="M10" s="16" t="s">
        <v>51</v>
      </c>
      <c r="N10" s="17" t="s">
        <v>58</v>
      </c>
    </row>
    <row r="11" spans="1:14" ht="18" customHeight="1" x14ac:dyDescent="0.3">
      <c r="A11" s="13">
        <v>46260</v>
      </c>
      <c r="B11" s="14">
        <v>500</v>
      </c>
      <c r="C11" s="14">
        <v>25</v>
      </c>
      <c r="D11" s="14">
        <v>90</v>
      </c>
      <c r="E11" s="14">
        <v>70</v>
      </c>
      <c r="F11" s="14">
        <v>480</v>
      </c>
      <c r="G11" s="14">
        <v>7</v>
      </c>
      <c r="H11" s="14">
        <v>45</v>
      </c>
      <c r="I11" s="15">
        <f t="shared" si="2"/>
        <v>1210</v>
      </c>
      <c r="J11" s="15">
        <f t="shared" si="0"/>
        <v>230</v>
      </c>
      <c r="K11" s="16" t="s">
        <v>57</v>
      </c>
      <c r="L11" s="16" t="s">
        <v>50</v>
      </c>
      <c r="M11" s="16" t="s">
        <v>51</v>
      </c>
      <c r="N11" s="17" t="s">
        <v>58</v>
      </c>
    </row>
    <row r="12" spans="1:14" ht="18" customHeight="1" x14ac:dyDescent="0.3">
      <c r="A12" s="13">
        <v>46261</v>
      </c>
      <c r="B12" s="14">
        <v>480</v>
      </c>
      <c r="C12" s="14">
        <v>30</v>
      </c>
      <c r="D12" s="14">
        <v>100</v>
      </c>
      <c r="E12" s="14">
        <v>50</v>
      </c>
      <c r="F12" s="14">
        <v>430</v>
      </c>
      <c r="G12" s="14">
        <v>6</v>
      </c>
      <c r="H12" s="14">
        <v>50</v>
      </c>
      <c r="I12" s="15">
        <f t="shared" si="2"/>
        <v>1140</v>
      </c>
      <c r="J12" s="15">
        <f t="shared" si="0"/>
        <v>300</v>
      </c>
      <c r="K12" s="16" t="s">
        <v>57</v>
      </c>
      <c r="L12" s="16" t="s">
        <v>50</v>
      </c>
      <c r="M12" s="16" t="s">
        <v>51</v>
      </c>
      <c r="N12" s="17" t="s">
        <v>58</v>
      </c>
    </row>
    <row r="13" spans="1:14" ht="18" customHeight="1" x14ac:dyDescent="0.3">
      <c r="A13" s="13">
        <v>46262</v>
      </c>
      <c r="B13" s="14">
        <v>480</v>
      </c>
      <c r="C13" s="14">
        <v>30</v>
      </c>
      <c r="D13" s="14">
        <v>100</v>
      </c>
      <c r="E13" s="14">
        <v>60</v>
      </c>
      <c r="F13" s="14">
        <v>340</v>
      </c>
      <c r="G13" s="14">
        <v>5</v>
      </c>
      <c r="H13" s="14">
        <v>40</v>
      </c>
      <c r="I13" s="15">
        <f t="shared" si="2"/>
        <v>1050</v>
      </c>
      <c r="J13" s="15">
        <f t="shared" si="0"/>
        <v>390</v>
      </c>
      <c r="K13" s="16" t="s">
        <v>57</v>
      </c>
      <c r="L13" s="16" t="s">
        <v>50</v>
      </c>
      <c r="M13" s="16" t="s">
        <v>51</v>
      </c>
      <c r="N13" s="17" t="s">
        <v>58</v>
      </c>
    </row>
    <row r="14" spans="1:14" ht="18" customHeight="1" x14ac:dyDescent="0.3">
      <c r="A14" s="13">
        <v>46263</v>
      </c>
      <c r="B14" s="14">
        <v>520</v>
      </c>
      <c r="C14" s="14">
        <v>30</v>
      </c>
      <c r="D14" s="14">
        <v>100</v>
      </c>
      <c r="E14" s="14">
        <v>50</v>
      </c>
      <c r="F14" s="14">
        <v>0</v>
      </c>
      <c r="G14" s="14">
        <v>0</v>
      </c>
      <c r="H14" s="14">
        <v>45</v>
      </c>
      <c r="I14" s="15">
        <f t="shared" si="2"/>
        <v>745</v>
      </c>
      <c r="J14" s="15">
        <f t="shared" si="0"/>
        <v>695</v>
      </c>
      <c r="K14" s="16" t="s">
        <v>57</v>
      </c>
      <c r="L14" s="16" t="s">
        <v>50</v>
      </c>
      <c r="M14" s="16" t="s">
        <v>51</v>
      </c>
      <c r="N14" s="17" t="s">
        <v>58</v>
      </c>
    </row>
    <row r="15" spans="1:14" ht="18" customHeight="1" x14ac:dyDescent="0.3">
      <c r="A15" s="13">
        <v>46264</v>
      </c>
      <c r="B15" s="14">
        <v>600</v>
      </c>
      <c r="C15" s="14">
        <v>60</v>
      </c>
      <c r="D15" s="14">
        <v>250</v>
      </c>
      <c r="E15" s="14">
        <v>90</v>
      </c>
      <c r="F15" s="14">
        <v>0</v>
      </c>
      <c r="G15" s="14">
        <v>0</v>
      </c>
      <c r="H15" s="14">
        <v>120</v>
      </c>
      <c r="I15" s="15">
        <f t="shared" si="2"/>
        <v>1120</v>
      </c>
      <c r="J15" s="15">
        <f t="shared" si="0"/>
        <v>320</v>
      </c>
      <c r="K15" s="16" t="s">
        <v>57</v>
      </c>
      <c r="L15" s="16" t="s">
        <v>50</v>
      </c>
      <c r="M15" s="16" t="s">
        <v>51</v>
      </c>
      <c r="N15" s="17" t="s">
        <v>59</v>
      </c>
    </row>
    <row r="16" spans="1:14" ht="18" customHeight="1" x14ac:dyDescent="0.3">
      <c r="A16" s="13">
        <v>46265</v>
      </c>
      <c r="B16" s="14">
        <v>480</v>
      </c>
      <c r="C16" s="14">
        <v>30</v>
      </c>
      <c r="D16" s="14">
        <v>90</v>
      </c>
      <c r="E16" s="14">
        <v>50</v>
      </c>
      <c r="F16" s="14">
        <v>480</v>
      </c>
      <c r="G16" s="14">
        <v>7</v>
      </c>
      <c r="H16" s="14">
        <v>30</v>
      </c>
      <c r="I16" s="15">
        <f t="shared" si="2"/>
        <v>1160</v>
      </c>
      <c r="J16" s="15">
        <f t="shared" si="0"/>
        <v>280</v>
      </c>
      <c r="K16" s="16" t="s">
        <v>57</v>
      </c>
      <c r="L16" s="16" t="s">
        <v>50</v>
      </c>
      <c r="M16" s="16" t="s">
        <v>51</v>
      </c>
      <c r="N16" s="17" t="s">
        <v>60</v>
      </c>
    </row>
    <row r="17" spans="1:14" ht="18" customHeight="1" x14ac:dyDescent="0.3">
      <c r="A17" s="13">
        <v>46266</v>
      </c>
      <c r="B17" s="14">
        <v>480</v>
      </c>
      <c r="C17" s="14">
        <v>25</v>
      </c>
      <c r="D17" s="14">
        <v>120</v>
      </c>
      <c r="E17" s="14">
        <v>70</v>
      </c>
      <c r="F17" s="14">
        <v>480</v>
      </c>
      <c r="G17" s="14">
        <v>7</v>
      </c>
      <c r="H17" s="14">
        <v>45</v>
      </c>
      <c r="I17" s="15">
        <f t="shared" si="2"/>
        <v>1220</v>
      </c>
      <c r="J17" s="15">
        <f t="shared" si="0"/>
        <v>220</v>
      </c>
      <c r="K17" s="16" t="s">
        <v>49</v>
      </c>
      <c r="L17" s="16" t="s">
        <v>50</v>
      </c>
      <c r="M17" s="16" t="s">
        <v>61</v>
      </c>
      <c r="N17" s="17" t="s">
        <v>62</v>
      </c>
    </row>
    <row r="18" spans="1:14" ht="18" customHeight="1" x14ac:dyDescent="0.3">
      <c r="A18" s="13">
        <v>46267</v>
      </c>
      <c r="B18" s="14">
        <v>460</v>
      </c>
      <c r="C18" s="14">
        <v>25</v>
      </c>
      <c r="D18" s="14">
        <v>170</v>
      </c>
      <c r="E18" s="14">
        <v>80</v>
      </c>
      <c r="F18" s="14">
        <v>430</v>
      </c>
      <c r="G18" s="14">
        <v>6</v>
      </c>
      <c r="H18" s="14">
        <v>70</v>
      </c>
      <c r="I18" s="15">
        <f t="shared" si="2"/>
        <v>1235</v>
      </c>
      <c r="J18" s="15">
        <f t="shared" si="0"/>
        <v>205</v>
      </c>
      <c r="K18" s="16" t="s">
        <v>57</v>
      </c>
      <c r="L18" s="16" t="s">
        <v>50</v>
      </c>
      <c r="M18" s="16" t="s">
        <v>61</v>
      </c>
      <c r="N18" s="17" t="s">
        <v>59</v>
      </c>
    </row>
    <row r="19" spans="1:14" ht="18" customHeight="1" x14ac:dyDescent="0.3">
      <c r="A19" s="13">
        <v>46268</v>
      </c>
      <c r="B19" s="14">
        <v>470</v>
      </c>
      <c r="C19" s="14">
        <v>30</v>
      </c>
      <c r="D19" s="14">
        <v>160</v>
      </c>
      <c r="E19" s="14">
        <v>85</v>
      </c>
      <c r="F19" s="14">
        <v>450</v>
      </c>
      <c r="G19" s="14">
        <v>6</v>
      </c>
      <c r="H19" s="14">
        <v>60</v>
      </c>
      <c r="I19" s="15">
        <f t="shared" si="2"/>
        <v>1255</v>
      </c>
      <c r="J19" s="15">
        <f t="shared" si="0"/>
        <v>185</v>
      </c>
      <c r="K19" s="16" t="s">
        <v>49</v>
      </c>
      <c r="L19" s="16" t="s">
        <v>50</v>
      </c>
      <c r="M19" s="16" t="s">
        <v>51</v>
      </c>
      <c r="N19" s="17" t="s">
        <v>59</v>
      </c>
    </row>
    <row r="20" spans="1:14" ht="18" customHeight="1" x14ac:dyDescent="0.3">
      <c r="A20" s="13">
        <v>46269</v>
      </c>
      <c r="B20" s="14">
        <v>480</v>
      </c>
      <c r="C20" s="14">
        <v>25</v>
      </c>
      <c r="D20" s="14">
        <v>150</v>
      </c>
      <c r="E20" s="14">
        <v>90</v>
      </c>
      <c r="F20" s="14">
        <v>450</v>
      </c>
      <c r="G20" s="14">
        <v>5</v>
      </c>
      <c r="H20" s="14">
        <v>50</v>
      </c>
      <c r="I20" s="15">
        <f t="shared" si="2"/>
        <v>1245</v>
      </c>
      <c r="J20" s="15">
        <f t="shared" si="0"/>
        <v>195</v>
      </c>
      <c r="K20" s="16" t="s">
        <v>57</v>
      </c>
      <c r="L20" s="16" t="s">
        <v>50</v>
      </c>
      <c r="M20" s="16" t="s">
        <v>61</v>
      </c>
      <c r="N20" s="17" t="s">
        <v>59</v>
      </c>
    </row>
    <row r="21" spans="1:14" ht="18" customHeight="1" x14ac:dyDescent="0.3">
      <c r="A21" s="13">
        <v>46270</v>
      </c>
      <c r="B21" s="14">
        <v>500</v>
      </c>
      <c r="C21" s="14">
        <v>25</v>
      </c>
      <c r="D21" s="14">
        <v>170</v>
      </c>
      <c r="E21" s="14">
        <v>90</v>
      </c>
      <c r="F21" s="14">
        <v>0</v>
      </c>
      <c r="G21" s="14">
        <v>0</v>
      </c>
      <c r="H21" s="14">
        <v>60</v>
      </c>
      <c r="I21" s="15">
        <f t="shared" si="2"/>
        <v>845</v>
      </c>
      <c r="J21" s="15">
        <f t="shared" si="0"/>
        <v>595</v>
      </c>
      <c r="K21" s="16" t="s">
        <v>57</v>
      </c>
      <c r="L21" s="16" t="s">
        <v>50</v>
      </c>
      <c r="M21" s="16" t="s">
        <v>61</v>
      </c>
      <c r="N21" s="17" t="s">
        <v>59</v>
      </c>
    </row>
    <row r="22" spans="1:14" ht="18" customHeight="1" x14ac:dyDescent="0.3">
      <c r="A22" s="13">
        <v>46271</v>
      </c>
      <c r="B22" s="14">
        <v>600</v>
      </c>
      <c r="C22" s="14">
        <v>30</v>
      </c>
      <c r="D22" s="14">
        <v>180</v>
      </c>
      <c r="E22" s="14">
        <v>110</v>
      </c>
      <c r="F22" s="14">
        <v>0</v>
      </c>
      <c r="G22" s="14">
        <v>0</v>
      </c>
      <c r="H22" s="14">
        <v>40</v>
      </c>
      <c r="I22" s="15">
        <f t="shared" si="2"/>
        <v>960</v>
      </c>
      <c r="J22" s="15">
        <f t="shared" si="0"/>
        <v>480</v>
      </c>
      <c r="K22" s="16" t="s">
        <v>57</v>
      </c>
      <c r="L22" s="16" t="s">
        <v>50</v>
      </c>
      <c r="M22" s="16" t="s">
        <v>61</v>
      </c>
      <c r="N22" s="17" t="s">
        <v>59</v>
      </c>
    </row>
    <row r="23" spans="1:14" ht="18" customHeight="1" x14ac:dyDescent="0.3">
      <c r="A23" s="13">
        <v>46272</v>
      </c>
      <c r="B23" s="14">
        <v>480</v>
      </c>
      <c r="C23" s="14">
        <v>20</v>
      </c>
      <c r="D23" s="14">
        <v>120</v>
      </c>
      <c r="E23" s="14">
        <v>45</v>
      </c>
      <c r="F23" s="14">
        <v>480</v>
      </c>
      <c r="G23" s="14">
        <v>6</v>
      </c>
      <c r="H23" s="14">
        <v>30</v>
      </c>
      <c r="I23" s="15">
        <f t="shared" si="2"/>
        <v>1175</v>
      </c>
      <c r="J23" s="15">
        <f t="shared" si="0"/>
        <v>265</v>
      </c>
      <c r="K23" s="16" t="s">
        <v>57</v>
      </c>
      <c r="L23" s="16" t="s">
        <v>50</v>
      </c>
      <c r="M23" s="16" t="s">
        <v>61</v>
      </c>
      <c r="N23" s="17" t="s">
        <v>60</v>
      </c>
    </row>
    <row r="24" spans="1:14" ht="18" customHeight="1" x14ac:dyDescent="0.3">
      <c r="A24" s="13">
        <v>46273</v>
      </c>
      <c r="B24" s="14">
        <v>440</v>
      </c>
      <c r="C24" s="14">
        <v>23</v>
      </c>
      <c r="D24" s="14">
        <v>90</v>
      </c>
      <c r="E24" s="14">
        <v>45</v>
      </c>
      <c r="F24" s="14">
        <v>480</v>
      </c>
      <c r="G24" s="14">
        <v>6</v>
      </c>
      <c r="H24" s="14">
        <v>30</v>
      </c>
      <c r="I24" s="15">
        <f t="shared" si="2"/>
        <v>1108</v>
      </c>
      <c r="J24" s="15">
        <f t="shared" si="0"/>
        <v>332</v>
      </c>
      <c r="K24" s="16" t="s">
        <v>57</v>
      </c>
      <c r="L24" s="16" t="s">
        <v>50</v>
      </c>
      <c r="M24" s="16" t="s">
        <v>61</v>
      </c>
      <c r="N24" s="17" t="s">
        <v>59</v>
      </c>
    </row>
    <row r="25" spans="1:14" ht="18" customHeight="1" x14ac:dyDescent="0.3">
      <c r="A25" s="13">
        <v>46274</v>
      </c>
      <c r="B25" s="14">
        <v>420</v>
      </c>
      <c r="C25" s="14">
        <v>25</v>
      </c>
      <c r="D25" s="14">
        <v>90</v>
      </c>
      <c r="E25" s="14">
        <v>60</v>
      </c>
      <c r="F25" s="14">
        <v>360</v>
      </c>
      <c r="G25" s="14">
        <v>4</v>
      </c>
      <c r="H25" s="14">
        <v>300</v>
      </c>
      <c r="I25" s="15">
        <f t="shared" si="2"/>
        <v>1255</v>
      </c>
      <c r="J25" s="15">
        <f t="shared" si="0"/>
        <v>185</v>
      </c>
      <c r="K25" s="16" t="s">
        <v>49</v>
      </c>
      <c r="L25" s="16" t="s">
        <v>50</v>
      </c>
      <c r="M25" s="16" t="s">
        <v>61</v>
      </c>
      <c r="N25" s="17" t="s">
        <v>59</v>
      </c>
    </row>
    <row r="26" spans="1:14" ht="18" customHeight="1" x14ac:dyDescent="0.3">
      <c r="A26" s="13">
        <v>46275</v>
      </c>
      <c r="B26" s="14">
        <v>420</v>
      </c>
      <c r="C26" s="14">
        <v>20</v>
      </c>
      <c r="D26" s="14">
        <v>60</v>
      </c>
      <c r="E26" s="14">
        <v>90</v>
      </c>
      <c r="F26" s="14">
        <v>420</v>
      </c>
      <c r="G26" s="14">
        <v>5</v>
      </c>
      <c r="H26" s="14">
        <v>60</v>
      </c>
      <c r="I26" s="15">
        <f t="shared" si="2"/>
        <v>1070</v>
      </c>
      <c r="J26" s="15">
        <f t="shared" si="0"/>
        <v>370</v>
      </c>
      <c r="K26" s="16" t="s">
        <v>49</v>
      </c>
      <c r="L26" s="16" t="s">
        <v>50</v>
      </c>
      <c r="M26" s="16" t="s">
        <v>61</v>
      </c>
      <c r="N26" s="17" t="s">
        <v>67</v>
      </c>
    </row>
    <row r="27" spans="1:14" ht="18" customHeight="1" x14ac:dyDescent="0.3">
      <c r="A27" s="13">
        <v>46276</v>
      </c>
      <c r="B27" s="14">
        <v>500</v>
      </c>
      <c r="C27" s="14">
        <v>30</v>
      </c>
      <c r="D27" s="14">
        <v>180</v>
      </c>
      <c r="E27" s="14">
        <v>90</v>
      </c>
      <c r="F27" s="14">
        <v>0</v>
      </c>
      <c r="G27" s="14">
        <v>0</v>
      </c>
      <c r="H27" s="14">
        <v>45</v>
      </c>
      <c r="I27" s="15">
        <f t="shared" si="2"/>
        <v>845</v>
      </c>
      <c r="J27" s="15">
        <f t="shared" si="0"/>
        <v>595</v>
      </c>
      <c r="K27" s="16" t="s">
        <v>64</v>
      </c>
      <c r="L27" s="16" t="s">
        <v>65</v>
      </c>
      <c r="M27" s="16" t="s">
        <v>61</v>
      </c>
      <c r="N27" s="17" t="s">
        <v>66</v>
      </c>
    </row>
    <row r="28" spans="1:14" ht="18" customHeight="1" x14ac:dyDescent="0.3">
      <c r="A28" s="13">
        <v>46277</v>
      </c>
      <c r="B28" s="14">
        <v>520</v>
      </c>
      <c r="C28" s="14">
        <v>30</v>
      </c>
      <c r="D28" s="14">
        <v>120</v>
      </c>
      <c r="E28" s="14">
        <v>90</v>
      </c>
      <c r="F28" s="14">
        <v>0</v>
      </c>
      <c r="G28" s="14">
        <v>0</v>
      </c>
      <c r="H28" s="14">
        <v>100</v>
      </c>
      <c r="I28" s="15">
        <f t="shared" si="2"/>
        <v>860</v>
      </c>
      <c r="J28" s="15">
        <f t="shared" si="0"/>
        <v>580</v>
      </c>
      <c r="K28" s="16" t="s">
        <v>49</v>
      </c>
      <c r="L28" s="16" t="s">
        <v>50</v>
      </c>
      <c r="M28" s="16" t="s">
        <v>61</v>
      </c>
      <c r="N28" s="17" t="s">
        <v>63</v>
      </c>
    </row>
    <row r="29" spans="1:14" ht="18" customHeight="1" x14ac:dyDescent="0.3">
      <c r="A29" s="13">
        <v>46278</v>
      </c>
      <c r="B29" s="14">
        <v>600</v>
      </c>
      <c r="C29" s="14">
        <v>15</v>
      </c>
      <c r="D29" s="14">
        <v>120</v>
      </c>
      <c r="E29" s="14">
        <v>60</v>
      </c>
      <c r="F29" s="14">
        <v>480</v>
      </c>
      <c r="G29" s="14">
        <v>6</v>
      </c>
      <c r="H29" s="14">
        <v>45</v>
      </c>
      <c r="I29" s="15">
        <f t="shared" si="2"/>
        <v>1320</v>
      </c>
      <c r="J29" s="15">
        <f t="shared" si="0"/>
        <v>120</v>
      </c>
      <c r="K29" s="16" t="s">
        <v>49</v>
      </c>
      <c r="L29" s="16" t="s">
        <v>50</v>
      </c>
      <c r="M29" s="16" t="s">
        <v>51</v>
      </c>
      <c r="N29" s="17" t="s">
        <v>60</v>
      </c>
    </row>
    <row r="30" spans="1:14" ht="18" customHeight="1" x14ac:dyDescent="0.3">
      <c r="A30" s="13">
        <v>46279</v>
      </c>
      <c r="B30" s="14">
        <v>480</v>
      </c>
      <c r="C30" s="14">
        <v>25</v>
      </c>
      <c r="D30" s="14">
        <v>60</v>
      </c>
      <c r="E30" s="14">
        <v>75</v>
      </c>
      <c r="F30" s="14">
        <v>480</v>
      </c>
      <c r="G30" s="14">
        <v>7</v>
      </c>
      <c r="H30" s="14">
        <v>30</v>
      </c>
      <c r="I30" s="15">
        <f t="shared" si="2"/>
        <v>1150</v>
      </c>
      <c r="J30" s="15">
        <f t="shared" si="0"/>
        <v>290</v>
      </c>
      <c r="K30" s="16" t="s">
        <v>49</v>
      </c>
      <c r="L30" s="16" t="s">
        <v>50</v>
      </c>
      <c r="M30" s="16" t="s">
        <v>68</v>
      </c>
      <c r="N30" s="17" t="s">
        <v>62</v>
      </c>
    </row>
    <row r="31" spans="1:14" ht="18" customHeight="1" x14ac:dyDescent="0.3">
      <c r="A31" s="13">
        <v>46280</v>
      </c>
      <c r="B31" s="14">
        <v>460</v>
      </c>
      <c r="C31" s="14">
        <v>20</v>
      </c>
      <c r="D31" s="14">
        <v>75</v>
      </c>
      <c r="E31" s="14">
        <v>60</v>
      </c>
      <c r="F31" s="14">
        <v>430</v>
      </c>
      <c r="G31" s="14">
        <v>6</v>
      </c>
      <c r="H31" s="14">
        <v>45</v>
      </c>
      <c r="I31" s="15">
        <f t="shared" si="2"/>
        <v>1090</v>
      </c>
      <c r="J31" s="15">
        <f t="shared" si="0"/>
        <v>350</v>
      </c>
      <c r="K31" s="16" t="s">
        <v>49</v>
      </c>
      <c r="L31" s="16" t="s">
        <v>50</v>
      </c>
      <c r="M31" s="16" t="s">
        <v>51</v>
      </c>
      <c r="N31" s="17" t="s">
        <v>62</v>
      </c>
    </row>
    <row r="32" spans="1:14" ht="18" customHeight="1" x14ac:dyDescent="0.3">
      <c r="A32" s="13">
        <v>46281</v>
      </c>
      <c r="B32" s="14">
        <v>500</v>
      </c>
      <c r="C32" s="14">
        <v>25</v>
      </c>
      <c r="D32" s="14">
        <v>120</v>
      </c>
      <c r="E32" s="14">
        <v>45</v>
      </c>
      <c r="F32" s="14">
        <v>400</v>
      </c>
      <c r="G32" s="14">
        <v>4</v>
      </c>
      <c r="H32" s="14">
        <v>60</v>
      </c>
      <c r="I32" s="15">
        <f t="shared" si="2"/>
        <v>1150</v>
      </c>
      <c r="J32" s="15">
        <f t="shared" si="0"/>
        <v>290</v>
      </c>
      <c r="K32" s="16" t="s">
        <v>49</v>
      </c>
      <c r="L32" s="16" t="s">
        <v>50</v>
      </c>
      <c r="M32" s="16" t="s">
        <v>51</v>
      </c>
      <c r="N32" s="17" t="s">
        <v>62</v>
      </c>
    </row>
    <row r="33" spans="1:14" ht="18" customHeight="1" x14ac:dyDescent="0.3">
      <c r="A33" s="13">
        <v>46282</v>
      </c>
      <c r="B33" s="14">
        <v>480</v>
      </c>
      <c r="C33" s="14">
        <v>20</v>
      </c>
      <c r="D33" s="14">
        <v>90</v>
      </c>
      <c r="E33" s="14">
        <v>45</v>
      </c>
      <c r="F33" s="14">
        <v>400</v>
      </c>
      <c r="G33" s="14">
        <v>5</v>
      </c>
      <c r="H33" s="14">
        <v>35</v>
      </c>
      <c r="I33" s="15">
        <f t="shared" si="2"/>
        <v>1070</v>
      </c>
      <c r="J33" s="15">
        <f t="shared" si="0"/>
        <v>370</v>
      </c>
      <c r="K33" s="16" t="s">
        <v>49</v>
      </c>
      <c r="L33" s="16" t="s">
        <v>50</v>
      </c>
      <c r="M33" s="16" t="s">
        <v>51</v>
      </c>
      <c r="N33" s="17" t="s">
        <v>60</v>
      </c>
    </row>
    <row r="34" spans="1:14" x14ac:dyDescent="0.3">
      <c r="A34" s="13">
        <v>46283</v>
      </c>
      <c r="B34" s="14">
        <v>580</v>
      </c>
      <c r="C34" s="14">
        <v>35</v>
      </c>
      <c r="D34" s="14">
        <v>180</v>
      </c>
      <c r="E34" s="14">
        <v>45</v>
      </c>
      <c r="F34" s="14">
        <v>0</v>
      </c>
      <c r="G34" s="14">
        <v>0</v>
      </c>
      <c r="H34" s="14">
        <v>35</v>
      </c>
      <c r="I34" s="15">
        <f t="shared" si="2"/>
        <v>875</v>
      </c>
      <c r="J34" s="15">
        <f t="shared" si="0"/>
        <v>565</v>
      </c>
      <c r="K34" s="16" t="s">
        <v>49</v>
      </c>
      <c r="L34" s="16" t="s">
        <v>50</v>
      </c>
      <c r="M34" s="16" t="s">
        <v>51</v>
      </c>
      <c r="N34" s="17" t="s">
        <v>60</v>
      </c>
    </row>
    <row r="35" spans="1:14" x14ac:dyDescent="0.3">
      <c r="A35" s="13">
        <v>46284</v>
      </c>
      <c r="B35" s="14">
        <v>520</v>
      </c>
      <c r="C35" s="14">
        <v>25</v>
      </c>
      <c r="D35" s="14">
        <v>120</v>
      </c>
      <c r="E35" s="14">
        <v>60</v>
      </c>
      <c r="F35" s="14">
        <v>0</v>
      </c>
      <c r="G35" s="14">
        <v>0</v>
      </c>
      <c r="H35" s="14">
        <v>40</v>
      </c>
      <c r="I35" s="15">
        <f t="shared" si="2"/>
        <v>765</v>
      </c>
      <c r="J35" s="15">
        <f t="shared" si="0"/>
        <v>675</v>
      </c>
      <c r="K35" s="16" t="s">
        <v>49</v>
      </c>
      <c r="L35" s="16" t="s">
        <v>50</v>
      </c>
      <c r="M35" s="16" t="s">
        <v>51</v>
      </c>
      <c r="N35" s="17" t="s">
        <v>60</v>
      </c>
    </row>
    <row r="36" spans="1:14" x14ac:dyDescent="0.3">
      <c r="A36" s="13">
        <v>46285</v>
      </c>
      <c r="B36" s="14">
        <v>480</v>
      </c>
      <c r="C36" s="14">
        <v>30</v>
      </c>
      <c r="D36" s="14">
        <v>120</v>
      </c>
      <c r="E36" s="14">
        <v>60</v>
      </c>
      <c r="F36" s="14">
        <v>250</v>
      </c>
      <c r="G36" s="14">
        <v>5</v>
      </c>
      <c r="H36" s="14">
        <v>35</v>
      </c>
      <c r="I36" s="15">
        <f t="shared" si="2"/>
        <v>975</v>
      </c>
      <c r="J36" s="15">
        <f t="shared" si="0"/>
        <v>465</v>
      </c>
      <c r="K36" s="16" t="s">
        <v>49</v>
      </c>
      <c r="L36" s="16" t="s">
        <v>50</v>
      </c>
      <c r="M36" s="16" t="s">
        <v>51</v>
      </c>
      <c r="N36" s="17" t="s">
        <v>60</v>
      </c>
    </row>
    <row r="37" spans="1:14" x14ac:dyDescent="0.3">
      <c r="A37" s="13">
        <v>46286</v>
      </c>
      <c r="B37" s="14">
        <v>500</v>
      </c>
      <c r="C37" s="14">
        <v>35</v>
      </c>
      <c r="D37" s="14">
        <v>90</v>
      </c>
      <c r="E37" s="14">
        <v>45</v>
      </c>
      <c r="F37" s="14">
        <v>300</v>
      </c>
      <c r="G37" s="14">
        <v>5</v>
      </c>
      <c r="H37" s="14">
        <v>35</v>
      </c>
      <c r="I37" s="15">
        <f t="shared" si="2"/>
        <v>1005</v>
      </c>
      <c r="J37" s="15">
        <f t="shared" si="0"/>
        <v>435</v>
      </c>
      <c r="K37" s="16" t="s">
        <v>49</v>
      </c>
      <c r="L37" s="16" t="s">
        <v>50</v>
      </c>
      <c r="M37" s="16" t="s">
        <v>51</v>
      </c>
      <c r="N37" s="17" t="s">
        <v>60</v>
      </c>
    </row>
    <row r="40" spans="1:14" x14ac:dyDescent="0.3">
      <c r="G40" s="21"/>
    </row>
    <row r="49" spans="9:11" x14ac:dyDescent="0.3">
      <c r="I49" s="21"/>
      <c r="K49" s="21"/>
    </row>
    <row r="50" spans="9:11" x14ac:dyDescent="0.3">
      <c r="K50" s="21"/>
    </row>
    <row r="51" spans="9:11" x14ac:dyDescent="0.3">
      <c r="J51" s="21"/>
      <c r="K51" s="21"/>
    </row>
    <row r="52" spans="9:11" x14ac:dyDescent="0.3">
      <c r="J52" s="21"/>
    </row>
  </sheetData>
  <conditionalFormatting sqref="J2:J37">
    <cfRule type="cellIs" dxfId="0" priority="1" operator="lessThan">
      <formula>0</formula>
    </cfRule>
  </conditionalFormatting>
  <dataValidations count="3">
    <dataValidation type="list" allowBlank="1" prompt="Select today's energy level" sqref="M2:M37" xr:uid="{AE9E1F00-1804-42A1-A5D0-2279DADB0266}">
      <formula1>"High,Medium,Low"</formula1>
      <formula2>0</formula2>
    </dataValidation>
    <dataValidation type="list" allowBlank="1" prompt="Select today's satisfaction level" sqref="L2:L37" xr:uid="{DED56CDB-F0BA-427A-829F-0418FD42A366}">
      <formula1>"Very Satisfied,Satisfied,Neutral,Unsatisfied,Very Unsatisfied"</formula1>
      <formula2>0</formula2>
    </dataValidation>
    <dataValidation type="list" allowBlank="1" error="Please choose a value from the dropdown list." prompt="Select today's overall feeling" sqref="K2:K37" xr:uid="{919FA682-89DE-4A08-BEA0-2706206D548A}">
      <formula1>"Excellent,Good,Neutral,Low,Stressed"</formula1>
      <formula2>0</formula2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Daily Log</vt:lpstr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Sonu Roy</cp:lastModifiedBy>
  <cp:revision>0</cp:revision>
  <dcterms:created xsi:type="dcterms:W3CDTF">2026-07-24T11:49:30Z</dcterms:created>
  <dcterms:modified xsi:type="dcterms:W3CDTF">2026-10-18T10:43:01Z</dcterms:modified>
  <dc:language>en-US</dc:language>
</cp:coreProperties>
</file>